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lavd\Documents\Python\CH EN 263 - Archive\"/>
    </mc:Choice>
  </mc:AlternateContent>
  <xr:revisionPtr revIDLastSave="0" documentId="13_ncr:1_{42D80AF0-6D27-47E0-A52F-D96065416398}" xr6:coauthVersionLast="36" xr6:coauthVersionMax="47" xr10:uidLastSave="{00000000-0000-0000-0000-000000000000}"/>
  <bookViews>
    <workbookView xWindow="990" yWindow="-120" windowWidth="27930" windowHeight="16440" tabRatio="500" xr2:uid="{00000000-000D-0000-FFFF-FFFF00000000}"/>
  </bookViews>
  <sheets>
    <sheet name="Problem 5" sheetId="2" r:id="rId1"/>
    <sheet name="Problem 6" sheetId="3" r:id="rId2"/>
  </sheets>
  <functionGroups builtInGroupCount="19"/>
  <definedNames>
    <definedName name="Dt">'Problem 5'!$C$25</definedName>
    <definedName name="y0">'Problem 5'!$C$23</definedName>
    <definedName name="z0">'Problem 5'!$C$24</definedName>
  </definedNames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5" i="2" l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101" i="2" s="1"/>
  <c r="E102" i="2" s="1"/>
  <c r="E103" i="2" s="1"/>
  <c r="E104" i="2" s="1"/>
  <c r="E105" i="2" s="1"/>
  <c r="E106" i="2" s="1"/>
  <c r="E107" i="2" s="1"/>
  <c r="E108" i="2" s="1"/>
  <c r="E109" i="2" s="1"/>
  <c r="E110" i="2" s="1"/>
  <c r="E111" i="2" s="1"/>
  <c r="E112" i="2" s="1"/>
  <c r="E113" i="2" s="1"/>
  <c r="E114" i="2" s="1"/>
  <c r="E115" i="2" s="1"/>
  <c r="E116" i="2" s="1"/>
  <c r="E117" i="2" s="1"/>
  <c r="E118" i="2" s="1"/>
  <c r="E119" i="2" s="1"/>
  <c r="E120" i="2" s="1"/>
  <c r="E121" i="2" s="1"/>
  <c r="E122" i="2" s="1"/>
  <c r="E123" i="2" s="1"/>
  <c r="E124" i="2" s="1"/>
  <c r="E125" i="2" s="1"/>
  <c r="E126" i="2" s="1"/>
  <c r="E127" i="2" s="1"/>
  <c r="E128" i="2" s="1"/>
  <c r="E129" i="2" s="1"/>
  <c r="E130" i="2" s="1"/>
  <c r="E131" i="2" s="1"/>
  <c r="E132" i="2" s="1"/>
  <c r="E133" i="2" s="1"/>
  <c r="E134" i="2" s="1"/>
  <c r="E135" i="2" s="1"/>
  <c r="E136" i="2" s="1"/>
  <c r="E137" i="2" s="1"/>
  <c r="E138" i="2" s="1"/>
  <c r="E139" i="2" s="1"/>
  <c r="E140" i="2" s="1"/>
  <c r="E141" i="2" s="1"/>
  <c r="E142" i="2" s="1"/>
  <c r="E143" i="2" s="1"/>
  <c r="E144" i="2" s="1"/>
  <c r="E145" i="2" s="1"/>
  <c r="E146" i="2" s="1"/>
  <c r="E147" i="2" s="1"/>
  <c r="E148" i="2" s="1"/>
  <c r="E149" i="2" s="1"/>
  <c r="E150" i="2" s="1"/>
  <c r="E151" i="2" s="1"/>
  <c r="E152" i="2" s="1"/>
  <c r="E153" i="2" s="1"/>
  <c r="E154" i="2" s="1"/>
  <c r="E155" i="2" s="1"/>
  <c r="E156" i="2" s="1"/>
  <c r="E157" i="2" s="1"/>
  <c r="E158" i="2" s="1"/>
  <c r="E159" i="2" s="1"/>
  <c r="E160" i="2" s="1"/>
  <c r="E161" i="2" s="1"/>
  <c r="E162" i="2" s="1"/>
  <c r="E163" i="2" s="1"/>
  <c r="E164" i="2" s="1"/>
  <c r="G24" i="2"/>
  <c r="G25" i="2" s="1"/>
  <c r="F24" i="2"/>
  <c r="F25" i="2" s="1"/>
  <c r="C14" i="3"/>
  <c r="C26" i="3"/>
  <c r="C38" i="3"/>
  <c r="C50" i="3"/>
  <c r="C62" i="3"/>
  <c r="C74" i="3"/>
  <c r="C86" i="3"/>
  <c r="C98" i="3"/>
  <c r="C110" i="3"/>
  <c r="C122" i="3"/>
  <c r="C134" i="3"/>
  <c r="C146" i="3"/>
  <c r="C158" i="3"/>
  <c r="C170" i="3"/>
  <c r="C182" i="3"/>
  <c r="C194" i="3"/>
  <c r="C206" i="3"/>
  <c r="C218" i="3"/>
  <c r="C230" i="3"/>
  <c r="C242" i="3"/>
  <c r="C254" i="3"/>
  <c r="C266" i="3"/>
  <c r="C290" i="3"/>
  <c r="C314" i="3"/>
  <c r="C326" i="3"/>
  <c r="C362" i="3"/>
  <c r="C386" i="3"/>
  <c r="C399" i="3"/>
  <c r="C15" i="3"/>
  <c r="C27" i="3"/>
  <c r="C39" i="3"/>
  <c r="C51" i="3"/>
  <c r="C63" i="3"/>
  <c r="C75" i="3"/>
  <c r="C87" i="3"/>
  <c r="C99" i="3"/>
  <c r="C111" i="3"/>
  <c r="C123" i="3"/>
  <c r="C135" i="3"/>
  <c r="C147" i="3"/>
  <c r="C159" i="3"/>
  <c r="C171" i="3"/>
  <c r="C183" i="3"/>
  <c r="C195" i="3"/>
  <c r="C207" i="3"/>
  <c r="C219" i="3"/>
  <c r="C231" i="3"/>
  <c r="C243" i="3"/>
  <c r="C255" i="3"/>
  <c r="C267" i="3"/>
  <c r="C279" i="3"/>
  <c r="C291" i="3"/>
  <c r="C303" i="3"/>
  <c r="C315" i="3"/>
  <c r="C327" i="3"/>
  <c r="C339" i="3"/>
  <c r="C351" i="3"/>
  <c r="C363" i="3"/>
  <c r="C375" i="3"/>
  <c r="C387" i="3"/>
  <c r="C16" i="3"/>
  <c r="C28" i="3"/>
  <c r="C40" i="3"/>
  <c r="C52" i="3"/>
  <c r="C64" i="3"/>
  <c r="C76" i="3"/>
  <c r="C88" i="3"/>
  <c r="C100" i="3"/>
  <c r="C112" i="3"/>
  <c r="C124" i="3"/>
  <c r="C136" i="3"/>
  <c r="C148" i="3"/>
  <c r="C160" i="3"/>
  <c r="C172" i="3"/>
  <c r="C184" i="3"/>
  <c r="C196" i="3"/>
  <c r="C208" i="3"/>
  <c r="C220" i="3"/>
  <c r="C232" i="3"/>
  <c r="C244" i="3"/>
  <c r="C256" i="3"/>
  <c r="C268" i="3"/>
  <c r="C280" i="3"/>
  <c r="C292" i="3"/>
  <c r="C304" i="3"/>
  <c r="C316" i="3"/>
  <c r="C328" i="3"/>
  <c r="C340" i="3"/>
  <c r="C352" i="3"/>
  <c r="C364" i="3"/>
  <c r="C376" i="3"/>
  <c r="C388" i="3"/>
  <c r="C412" i="3"/>
  <c r="C17" i="3"/>
  <c r="C29" i="3"/>
  <c r="C41" i="3"/>
  <c r="C53" i="3"/>
  <c r="C65" i="3"/>
  <c r="C77" i="3"/>
  <c r="C89" i="3"/>
  <c r="C101" i="3"/>
  <c r="C113" i="3"/>
  <c r="C125" i="3"/>
  <c r="C137" i="3"/>
  <c r="C149" i="3"/>
  <c r="C161" i="3"/>
  <c r="C173" i="3"/>
  <c r="C185" i="3"/>
  <c r="C197" i="3"/>
  <c r="C209" i="3"/>
  <c r="C221" i="3"/>
  <c r="C233" i="3"/>
  <c r="C245" i="3"/>
  <c r="C257" i="3"/>
  <c r="C269" i="3"/>
  <c r="C281" i="3"/>
  <c r="C293" i="3"/>
  <c r="C305" i="3"/>
  <c r="C317" i="3"/>
  <c r="C329" i="3"/>
  <c r="C341" i="3"/>
  <c r="C353" i="3"/>
  <c r="C365" i="3"/>
  <c r="C377" i="3"/>
  <c r="C389" i="3"/>
  <c r="C401" i="3"/>
  <c r="C413" i="3"/>
  <c r="C18" i="3"/>
  <c r="C30" i="3"/>
  <c r="C42" i="3"/>
  <c r="C54" i="3"/>
  <c r="C66" i="3"/>
  <c r="C78" i="3"/>
  <c r="C90" i="3"/>
  <c r="C102" i="3"/>
  <c r="C114" i="3"/>
  <c r="C126" i="3"/>
  <c r="C138" i="3"/>
  <c r="C150" i="3"/>
  <c r="C162" i="3"/>
  <c r="C174" i="3"/>
  <c r="C186" i="3"/>
  <c r="C198" i="3"/>
  <c r="C210" i="3"/>
  <c r="C222" i="3"/>
  <c r="C234" i="3"/>
  <c r="C246" i="3"/>
  <c r="C258" i="3"/>
  <c r="C270" i="3"/>
  <c r="C282" i="3"/>
  <c r="C294" i="3"/>
  <c r="C306" i="3"/>
  <c r="C318" i="3"/>
  <c r="C330" i="3"/>
  <c r="C342" i="3"/>
  <c r="C354" i="3"/>
  <c r="C366" i="3"/>
  <c r="C378" i="3"/>
  <c r="C390" i="3"/>
  <c r="C402" i="3"/>
  <c r="C19" i="3"/>
  <c r="C31" i="3"/>
  <c r="C43" i="3"/>
  <c r="C55" i="3"/>
  <c r="C67" i="3"/>
  <c r="C79" i="3"/>
  <c r="C91" i="3"/>
  <c r="C103" i="3"/>
  <c r="C115" i="3"/>
  <c r="C127" i="3"/>
  <c r="C139" i="3"/>
  <c r="C151" i="3"/>
  <c r="C163" i="3"/>
  <c r="C175" i="3"/>
  <c r="C187" i="3"/>
  <c r="C199" i="3"/>
  <c r="C211" i="3"/>
  <c r="C223" i="3"/>
  <c r="C235" i="3"/>
  <c r="C247" i="3"/>
  <c r="C259" i="3"/>
  <c r="C271" i="3"/>
  <c r="C283" i="3"/>
  <c r="C295" i="3"/>
  <c r="C307" i="3"/>
  <c r="C319" i="3"/>
  <c r="C331" i="3"/>
  <c r="C343" i="3"/>
  <c r="C355" i="3"/>
  <c r="C367" i="3"/>
  <c r="C379" i="3"/>
  <c r="C391" i="3"/>
  <c r="C403" i="3"/>
  <c r="C32" i="3"/>
  <c r="C104" i="3"/>
  <c r="C152" i="3"/>
  <c r="C188" i="3"/>
  <c r="C212" i="3"/>
  <c r="C236" i="3"/>
  <c r="C260" i="3"/>
  <c r="C284" i="3"/>
  <c r="C296" i="3"/>
  <c r="C320" i="3"/>
  <c r="C344" i="3"/>
  <c r="C368" i="3"/>
  <c r="C380" i="3"/>
  <c r="C404" i="3"/>
  <c r="C237" i="3"/>
  <c r="C309" i="3"/>
  <c r="C345" i="3"/>
  <c r="C369" i="3"/>
  <c r="C405" i="3"/>
  <c r="C20" i="3"/>
  <c r="C44" i="3"/>
  <c r="C56" i="3"/>
  <c r="C68" i="3"/>
  <c r="C80" i="3"/>
  <c r="C92" i="3"/>
  <c r="C116" i="3"/>
  <c r="C128" i="3"/>
  <c r="C140" i="3"/>
  <c r="C164" i="3"/>
  <c r="C176" i="3"/>
  <c r="C200" i="3"/>
  <c r="C224" i="3"/>
  <c r="C248" i="3"/>
  <c r="C272" i="3"/>
  <c r="C308" i="3"/>
  <c r="C332" i="3"/>
  <c r="C356" i="3"/>
  <c r="C392" i="3"/>
  <c r="C225" i="3"/>
  <c r="C333" i="3"/>
  <c r="C393" i="3"/>
  <c r="C21" i="3"/>
  <c r="C33" i="3"/>
  <c r="C45" i="3"/>
  <c r="C57" i="3"/>
  <c r="C69" i="3"/>
  <c r="C81" i="3"/>
  <c r="C93" i="3"/>
  <c r="C105" i="3"/>
  <c r="C117" i="3"/>
  <c r="C129" i="3"/>
  <c r="C141" i="3"/>
  <c r="C153" i="3"/>
  <c r="C165" i="3"/>
  <c r="C177" i="3"/>
  <c r="C189" i="3"/>
  <c r="C201" i="3"/>
  <c r="C213" i="3"/>
  <c r="C249" i="3"/>
  <c r="C261" i="3"/>
  <c r="C273" i="3"/>
  <c r="C285" i="3"/>
  <c r="C297" i="3"/>
  <c r="C321" i="3"/>
  <c r="C357" i="3"/>
  <c r="C381" i="3"/>
  <c r="C406" i="3"/>
  <c r="C22" i="3"/>
  <c r="C34" i="3"/>
  <c r="C46" i="3"/>
  <c r="C58" i="3"/>
  <c r="C70" i="3"/>
  <c r="C82" i="3"/>
  <c r="C94" i="3"/>
  <c r="C106" i="3"/>
  <c r="C118" i="3"/>
  <c r="C130" i="3"/>
  <c r="C142" i="3"/>
  <c r="C154" i="3"/>
  <c r="C166" i="3"/>
  <c r="C178" i="3"/>
  <c r="C190" i="3"/>
  <c r="C202" i="3"/>
  <c r="C214" i="3"/>
  <c r="C226" i="3"/>
  <c r="C238" i="3"/>
  <c r="C250" i="3"/>
  <c r="C262" i="3"/>
  <c r="C274" i="3"/>
  <c r="C286" i="3"/>
  <c r="C298" i="3"/>
  <c r="C310" i="3"/>
  <c r="C322" i="3"/>
  <c r="C334" i="3"/>
  <c r="C346" i="3"/>
  <c r="C358" i="3"/>
  <c r="C370" i="3"/>
  <c r="C382" i="3"/>
  <c r="C394" i="3"/>
  <c r="C23" i="3"/>
  <c r="C35" i="3"/>
  <c r="C47" i="3"/>
  <c r="C59" i="3"/>
  <c r="C71" i="3"/>
  <c r="C83" i="3"/>
  <c r="C95" i="3"/>
  <c r="C107" i="3"/>
  <c r="C119" i="3"/>
  <c r="C131" i="3"/>
  <c r="C143" i="3"/>
  <c r="C155" i="3"/>
  <c r="C167" i="3"/>
  <c r="C179" i="3"/>
  <c r="C191" i="3"/>
  <c r="C203" i="3"/>
  <c r="C215" i="3"/>
  <c r="C227" i="3"/>
  <c r="C239" i="3"/>
  <c r="C251" i="3"/>
  <c r="C263" i="3"/>
  <c r="C275" i="3"/>
  <c r="C287" i="3"/>
  <c r="C299" i="3"/>
  <c r="C311" i="3"/>
  <c r="C323" i="3"/>
  <c r="C335" i="3"/>
  <c r="C347" i="3"/>
  <c r="C359" i="3"/>
  <c r="C371" i="3"/>
  <c r="C383" i="3"/>
  <c r="C395" i="3"/>
  <c r="C407" i="3"/>
  <c r="C37" i="3"/>
  <c r="C97" i="3"/>
  <c r="C133" i="3"/>
  <c r="C157" i="3"/>
  <c r="C181" i="3"/>
  <c r="C217" i="3"/>
  <c r="C241" i="3"/>
  <c r="C265" i="3"/>
  <c r="C277" i="3"/>
  <c r="C301" i="3"/>
  <c r="C313" i="3"/>
  <c r="C337" i="3"/>
  <c r="C361" i="3"/>
  <c r="C385" i="3"/>
  <c r="C409" i="3"/>
  <c r="C302" i="3"/>
  <c r="C350" i="3"/>
  <c r="C398" i="3"/>
  <c r="C400" i="3"/>
  <c r="C24" i="3"/>
  <c r="C36" i="3"/>
  <c r="C48" i="3"/>
  <c r="C60" i="3"/>
  <c r="C72" i="3"/>
  <c r="C84" i="3"/>
  <c r="C96" i="3"/>
  <c r="C108" i="3"/>
  <c r="C120" i="3"/>
  <c r="C132" i="3"/>
  <c r="C144" i="3"/>
  <c r="C156" i="3"/>
  <c r="C168" i="3"/>
  <c r="C180" i="3"/>
  <c r="C192" i="3"/>
  <c r="C204" i="3"/>
  <c r="C216" i="3"/>
  <c r="C228" i="3"/>
  <c r="C240" i="3"/>
  <c r="C252" i="3"/>
  <c r="C264" i="3"/>
  <c r="C276" i="3"/>
  <c r="C288" i="3"/>
  <c r="C300" i="3"/>
  <c r="C312" i="3"/>
  <c r="C324" i="3"/>
  <c r="C336" i="3"/>
  <c r="C348" i="3"/>
  <c r="C360" i="3"/>
  <c r="C372" i="3"/>
  <c r="C384" i="3"/>
  <c r="C396" i="3"/>
  <c r="C408" i="3"/>
  <c r="C25" i="3"/>
  <c r="C49" i="3"/>
  <c r="C61" i="3"/>
  <c r="C73" i="3"/>
  <c r="C85" i="3"/>
  <c r="C109" i="3"/>
  <c r="C121" i="3"/>
  <c r="C145" i="3"/>
  <c r="C169" i="3"/>
  <c r="C193" i="3"/>
  <c r="C205" i="3"/>
  <c r="C229" i="3"/>
  <c r="C253" i="3"/>
  <c r="C289" i="3"/>
  <c r="C325" i="3"/>
  <c r="C349" i="3"/>
  <c r="C373" i="3"/>
  <c r="C397" i="3"/>
  <c r="C278" i="3"/>
  <c r="C338" i="3"/>
  <c r="C374" i="3"/>
  <c r="C410" i="3"/>
  <c r="C411" i="3"/>
  <c r="C13" i="3"/>
  <c r="F26" i="2" l="1"/>
  <c r="G26" i="2"/>
  <c r="G27" i="2" s="1"/>
  <c r="F27" i="2"/>
  <c r="F28" i="2" l="1"/>
  <c r="G28" i="2"/>
  <c r="G29" i="2" s="1"/>
  <c r="F29" i="2" l="1"/>
  <c r="F30" i="2" s="1"/>
  <c r="G30" i="2" l="1"/>
  <c r="G31" i="2" s="1"/>
  <c r="F31" i="2" l="1"/>
  <c r="F32" i="2" s="1"/>
  <c r="G32" i="2" l="1"/>
  <c r="G33" i="2" s="1"/>
  <c r="F33" i="2" l="1"/>
  <c r="F34" i="2" s="1"/>
  <c r="G34" i="2"/>
  <c r="G35" i="2" s="1"/>
  <c r="F35" i="2" l="1"/>
  <c r="F36" i="2" s="1"/>
  <c r="G36" i="2"/>
  <c r="G37" i="2" s="1"/>
  <c r="F37" i="2" l="1"/>
  <c r="F38" i="2" s="1"/>
  <c r="F39" i="2" s="1"/>
  <c r="F40" i="2" s="1"/>
  <c r="G38" i="2"/>
  <c r="G39" i="2" s="1"/>
  <c r="G40" i="2" l="1"/>
  <c r="G41" i="2" s="1"/>
  <c r="F41" i="2" l="1"/>
  <c r="F42" i="2" s="1"/>
  <c r="F43" i="2" s="1"/>
  <c r="F44" i="2" s="1"/>
  <c r="G42" i="2"/>
  <c r="G43" i="2" s="1"/>
  <c r="G44" i="2" l="1"/>
  <c r="G45" i="2" s="1"/>
  <c r="F45" i="2" l="1"/>
  <c r="F46" i="2" s="1"/>
  <c r="G46" i="2" l="1"/>
  <c r="G47" i="2" s="1"/>
  <c r="F47" i="2"/>
  <c r="F48" i="2" s="1"/>
  <c r="G48" i="2" l="1"/>
  <c r="G49" i="2" s="1"/>
  <c r="F49" i="2" l="1"/>
  <c r="F50" i="2" s="1"/>
  <c r="G50" i="2" l="1"/>
  <c r="G51" i="2" s="1"/>
  <c r="F51" i="2" l="1"/>
  <c r="F52" i="2" s="1"/>
  <c r="G52" i="2" l="1"/>
  <c r="G53" i="2" s="1"/>
  <c r="F53" i="2" l="1"/>
  <c r="F54" i="2" s="1"/>
  <c r="G54" i="2" l="1"/>
  <c r="G55" i="2" s="1"/>
  <c r="F55" i="2" l="1"/>
  <c r="F56" i="2" s="1"/>
  <c r="G56" i="2" l="1"/>
  <c r="G57" i="2" s="1"/>
  <c r="F57" i="2" l="1"/>
  <c r="F58" i="2" s="1"/>
  <c r="G58" i="2" l="1"/>
  <c r="G59" i="2" s="1"/>
  <c r="F59" i="2" l="1"/>
  <c r="F60" i="2" s="1"/>
  <c r="G60" i="2" l="1"/>
  <c r="G61" i="2" s="1"/>
  <c r="F61" i="2" l="1"/>
  <c r="F62" i="2" s="1"/>
  <c r="G62" i="2" l="1"/>
  <c r="G63" i="2" s="1"/>
  <c r="F63" i="2" l="1"/>
  <c r="F64" i="2" s="1"/>
  <c r="G64" i="2" l="1"/>
  <c r="G65" i="2" s="1"/>
  <c r="F65" i="2" l="1"/>
  <c r="F66" i="2" s="1"/>
  <c r="G66" i="2" l="1"/>
  <c r="G67" i="2" s="1"/>
  <c r="F67" i="2" l="1"/>
  <c r="F68" i="2" s="1"/>
  <c r="G68" i="2" l="1"/>
  <c r="G69" i="2" s="1"/>
  <c r="F69" i="2" l="1"/>
  <c r="F70" i="2" s="1"/>
  <c r="G70" i="2" l="1"/>
  <c r="G71" i="2" s="1"/>
  <c r="F71" i="2" l="1"/>
  <c r="F72" i="2" s="1"/>
  <c r="G72" i="2" l="1"/>
  <c r="G73" i="2" s="1"/>
  <c r="F73" i="2" l="1"/>
  <c r="F74" i="2" s="1"/>
  <c r="G74" i="2" l="1"/>
  <c r="G75" i="2" s="1"/>
  <c r="F75" i="2" l="1"/>
  <c r="F76" i="2" s="1"/>
  <c r="G76" i="2" l="1"/>
  <c r="G77" i="2" s="1"/>
  <c r="F77" i="2" l="1"/>
  <c r="F78" i="2" s="1"/>
  <c r="G78" i="2" l="1"/>
  <c r="G79" i="2" s="1"/>
  <c r="F79" i="2" l="1"/>
  <c r="F80" i="2" s="1"/>
  <c r="G80" i="2" l="1"/>
  <c r="G81" i="2" s="1"/>
  <c r="F81" i="2" l="1"/>
  <c r="F82" i="2" s="1"/>
  <c r="G82" i="2" l="1"/>
  <c r="G83" i="2" s="1"/>
  <c r="F83" i="2" l="1"/>
  <c r="F84" i="2" s="1"/>
  <c r="G84" i="2" l="1"/>
  <c r="G85" i="2" s="1"/>
  <c r="F85" i="2" l="1"/>
  <c r="F86" i="2" s="1"/>
  <c r="G86" i="2" l="1"/>
  <c r="G87" i="2" s="1"/>
  <c r="F87" i="2" l="1"/>
  <c r="F88" i="2" s="1"/>
  <c r="G88" i="2" l="1"/>
  <c r="G89" i="2" s="1"/>
  <c r="F89" i="2" l="1"/>
  <c r="F90" i="2" s="1"/>
  <c r="G90" i="2" l="1"/>
  <c r="G91" i="2" s="1"/>
  <c r="F91" i="2" l="1"/>
  <c r="F92" i="2" s="1"/>
  <c r="G92" i="2" l="1"/>
  <c r="G93" i="2" s="1"/>
  <c r="F93" i="2" l="1"/>
  <c r="F94" i="2" s="1"/>
  <c r="G94" i="2" l="1"/>
  <c r="G95" i="2" s="1"/>
  <c r="F95" i="2" l="1"/>
  <c r="F96" i="2" s="1"/>
  <c r="G96" i="2" l="1"/>
  <c r="G97" i="2" s="1"/>
  <c r="F97" i="2" l="1"/>
  <c r="F98" i="2" s="1"/>
  <c r="G98" i="2" l="1"/>
  <c r="G99" i="2" s="1"/>
  <c r="F99" i="2" l="1"/>
  <c r="F100" i="2" s="1"/>
  <c r="G100" i="2" l="1"/>
  <c r="G101" i="2" s="1"/>
  <c r="F101" i="2" l="1"/>
  <c r="F102" i="2" s="1"/>
  <c r="G102" i="2" l="1"/>
  <c r="G103" i="2" s="1"/>
  <c r="F103" i="2" l="1"/>
  <c r="F104" i="2" s="1"/>
  <c r="G104" i="2" l="1"/>
  <c r="G105" i="2" s="1"/>
  <c r="F105" i="2" l="1"/>
  <c r="F106" i="2" s="1"/>
  <c r="G106" i="2" l="1"/>
  <c r="G107" i="2" s="1"/>
  <c r="F107" i="2" l="1"/>
  <c r="F108" i="2" s="1"/>
  <c r="G108" i="2" l="1"/>
  <c r="G109" i="2" s="1"/>
  <c r="F109" i="2" l="1"/>
  <c r="F110" i="2" s="1"/>
  <c r="G110" i="2" l="1"/>
  <c r="G111" i="2" s="1"/>
  <c r="F111" i="2" l="1"/>
  <c r="F112" i="2" s="1"/>
  <c r="G112" i="2" l="1"/>
  <c r="G113" i="2" s="1"/>
  <c r="F113" i="2" l="1"/>
  <c r="F114" i="2" s="1"/>
  <c r="G114" i="2" l="1"/>
  <c r="G115" i="2" s="1"/>
  <c r="F115" i="2" l="1"/>
  <c r="F116" i="2" s="1"/>
  <c r="G116" i="2" l="1"/>
  <c r="G117" i="2" s="1"/>
  <c r="F117" i="2" l="1"/>
  <c r="F118" i="2" s="1"/>
  <c r="G118" i="2" l="1"/>
  <c r="G119" i="2" s="1"/>
  <c r="F119" i="2" l="1"/>
  <c r="F120" i="2" s="1"/>
  <c r="G120" i="2" l="1"/>
  <c r="G121" i="2" s="1"/>
  <c r="F121" i="2" l="1"/>
  <c r="F122" i="2" s="1"/>
  <c r="G122" i="2" l="1"/>
  <c r="G123" i="2" s="1"/>
  <c r="F123" i="2" l="1"/>
  <c r="F124" i="2" s="1"/>
  <c r="G124" i="2" l="1"/>
  <c r="G125" i="2" s="1"/>
  <c r="F125" i="2" l="1"/>
  <c r="F126" i="2" s="1"/>
  <c r="G126" i="2" l="1"/>
  <c r="G127" i="2" s="1"/>
  <c r="F127" i="2" l="1"/>
  <c r="F128" i="2" s="1"/>
  <c r="G128" i="2" l="1"/>
  <c r="G129" i="2" s="1"/>
  <c r="F129" i="2" l="1"/>
  <c r="F130" i="2" s="1"/>
  <c r="G130" i="2" l="1"/>
  <c r="G131" i="2" s="1"/>
  <c r="F131" i="2" l="1"/>
  <c r="F132" i="2" s="1"/>
  <c r="G132" i="2" l="1"/>
  <c r="G133" i="2" s="1"/>
  <c r="F133" i="2" l="1"/>
  <c r="F134" i="2" s="1"/>
  <c r="G134" i="2" l="1"/>
  <c r="G135" i="2" s="1"/>
  <c r="F135" i="2" l="1"/>
  <c r="F136" i="2" s="1"/>
  <c r="G136" i="2" l="1"/>
  <c r="G137" i="2" s="1"/>
  <c r="F137" i="2" l="1"/>
  <c r="F138" i="2" s="1"/>
  <c r="G138" i="2" l="1"/>
  <c r="G139" i="2" s="1"/>
  <c r="F139" i="2" l="1"/>
  <c r="F140" i="2" s="1"/>
  <c r="G140" i="2" l="1"/>
  <c r="G141" i="2" s="1"/>
  <c r="F141" i="2" l="1"/>
  <c r="F142" i="2" s="1"/>
  <c r="G142" i="2" l="1"/>
  <c r="G143" i="2" s="1"/>
  <c r="F143" i="2" l="1"/>
  <c r="F144" i="2" s="1"/>
  <c r="G144" i="2" l="1"/>
  <c r="G145" i="2" s="1"/>
  <c r="F145" i="2" l="1"/>
  <c r="F146" i="2" s="1"/>
  <c r="G146" i="2" l="1"/>
  <c r="G147" i="2" s="1"/>
  <c r="F147" i="2" l="1"/>
  <c r="F148" i="2" s="1"/>
  <c r="G148" i="2" l="1"/>
  <c r="G149" i="2" s="1"/>
  <c r="F149" i="2" l="1"/>
  <c r="F150" i="2" s="1"/>
  <c r="G150" i="2" l="1"/>
  <c r="G151" i="2" s="1"/>
  <c r="F151" i="2" l="1"/>
  <c r="F152" i="2" s="1"/>
  <c r="G152" i="2" l="1"/>
  <c r="G153" i="2" s="1"/>
  <c r="F153" i="2" l="1"/>
  <c r="F154" i="2" s="1"/>
  <c r="G154" i="2" l="1"/>
  <c r="G155" i="2" s="1"/>
  <c r="F155" i="2" l="1"/>
  <c r="F156" i="2" s="1"/>
  <c r="G156" i="2" l="1"/>
  <c r="G157" i="2" s="1"/>
  <c r="F157" i="2" l="1"/>
  <c r="F158" i="2" s="1"/>
  <c r="G158" i="2" l="1"/>
  <c r="G159" i="2" s="1"/>
  <c r="F159" i="2" l="1"/>
  <c r="F160" i="2" s="1"/>
  <c r="G160" i="2" l="1"/>
  <c r="G161" i="2" s="1"/>
  <c r="F161" i="2" l="1"/>
  <c r="F162" i="2" s="1"/>
  <c r="G162" i="2" l="1"/>
  <c r="G163" i="2" s="1"/>
  <c r="F163" i="2" l="1"/>
  <c r="F164" i="2" s="1"/>
  <c r="G164" i="2" l="1"/>
</calcChain>
</file>

<file path=xl/sharedStrings.xml><?xml version="1.0" encoding="utf-8"?>
<sst xmlns="http://schemas.openxmlformats.org/spreadsheetml/2006/main" count="19" uniqueCount="18">
  <si>
    <t>Problem 5 (20 points)</t>
  </si>
  <si>
    <t>Problem 6 (15 points)</t>
  </si>
  <si>
    <t>where sinh() is the hyperbolic sine, which exists in Excel but not natively in VBA.</t>
  </si>
  <si>
    <t>(a) Make a custom VBA-based function that implements the following (with the same name) and can be accessed within Excel</t>
  </si>
  <si>
    <r>
      <t xml:space="preserve">(b) in Excel plot your function (y axis) for a closely-spaced sequence of </t>
    </r>
    <r>
      <rPr>
        <i/>
        <sz val="12"/>
        <color theme="1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 xml:space="preserve"> values (x axis) from -2 to 2</t>
    </r>
  </si>
  <si>
    <t>y</t>
  </si>
  <si>
    <t>z</t>
  </si>
  <si>
    <t>Constants</t>
  </si>
  <si>
    <t>Data</t>
  </si>
  <si>
    <r>
      <t>y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 xml:space="preserve"> =</t>
    </r>
  </si>
  <si>
    <r>
      <t>z</t>
    </r>
    <r>
      <rPr>
        <vertAlign val="subscript"/>
        <sz val="12"/>
        <color theme="1"/>
        <rFont val="Calibri"/>
        <family val="2"/>
        <scheme val="minor"/>
      </rPr>
      <t>0</t>
    </r>
    <r>
      <rPr>
        <sz val="12"/>
        <color theme="1"/>
        <rFont val="Calibri"/>
        <family val="2"/>
        <scheme val="minor"/>
      </rPr>
      <t xml:space="preserve"> =</t>
    </r>
  </si>
  <si>
    <r>
      <rPr>
        <sz val="12"/>
        <color theme="1"/>
        <rFont val="Symbol"/>
        <family val="1"/>
        <charset val="2"/>
      </rPr>
      <t>D</t>
    </r>
    <r>
      <rPr>
        <sz val="12"/>
        <color theme="1"/>
        <rFont val="Calibri"/>
        <family val="2"/>
        <scheme val="minor"/>
      </rPr>
      <t>t =</t>
    </r>
  </si>
  <si>
    <t>Steady-State</t>
  </si>
  <si>
    <t>y =</t>
  </si>
  <si>
    <t>z =</t>
  </si>
  <si>
    <t>t</t>
  </si>
  <si>
    <t>Reaction(P)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</si>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</sst>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2"/>
      <color theme="1"/>
      <name val="Symbol"/>
      <family val="1"/>
      <charset val="2"/>
    </font>
    <font>
      <sz val="12"/>
      <color theme="1"/>
      <name val="Calibri"/>
      <family val="1"/>
      <charset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Border="1"/>
    <xf numFmtId="0" fontId="2" fillId="0" borderId="0" xfId="1" applyBorder="1"/>
    <xf numFmtId="0" fontId="3" fillId="0" borderId="0" xfId="0" applyFont="1"/>
    <xf numFmtId="0" fontId="0" fillId="0" borderId="0" xfId="0" applyFill="1" applyBorder="1"/>
    <xf numFmtId="2" fontId="0" fillId="0" borderId="0" xfId="0" applyNumberFormat="1" applyFill="1" applyBorder="1"/>
    <xf numFmtId="0" fontId="0" fillId="0" borderId="0" xfId="0" applyNumberFormat="1" applyFill="1" applyBorder="1"/>
    <xf numFmtId="0" fontId="1" fillId="0" borderId="0" xfId="0" applyFont="1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11" fontId="0" fillId="0" borderId="0" xfId="0" applyNumberFormat="1" applyFill="1" applyBorder="1"/>
    <xf numFmtId="0" fontId="0" fillId="0" borderId="0" xfId="0" applyFill="1" applyBorder="1" applyAlignment="1"/>
    <xf numFmtId="0" fontId="0" fillId="0" borderId="0" xfId="0" applyAlignment="1"/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2" fontId="0" fillId="0" borderId="1" xfId="0" applyNumberFormat="1" applyFill="1" applyBorder="1"/>
    <xf numFmtId="0" fontId="0" fillId="0" borderId="2" xfId="0" applyFill="1" applyBorder="1"/>
    <xf numFmtId="2" fontId="0" fillId="0" borderId="3" xfId="0" applyNumberFormat="1" applyFill="1" applyBorder="1"/>
    <xf numFmtId="0" fontId="0" fillId="0" borderId="4" xfId="0" applyFill="1" applyBorder="1"/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/>
    <xf numFmtId="0" fontId="0" fillId="0" borderId="10" xfId="0" applyFill="1" applyBorder="1"/>
    <xf numFmtId="0" fontId="0" fillId="0" borderId="2" xfId="0" applyFill="1" applyBorder="1" applyAlignment="1"/>
    <xf numFmtId="0" fontId="7" fillId="0" borderId="3" xfId="0" applyFont="1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0" xfId="0" applyBorder="1" applyAlignment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y,</a:t>
            </a:r>
            <a:r>
              <a:rPr lang="en-US" baseline="0"/>
              <a:t> z vs 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'Problem 5'!$F$23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'Problem 5'!$E$24:$E$164</c:f>
              <c:numCache>
                <c:formatCode>0.00</c:formatCode>
                <c:ptCount val="14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</c:numCache>
            </c:numRef>
          </c:xVal>
          <c:yVal>
            <c:numRef>
              <c:f>'Problem 5'!$F$24:$F$164</c:f>
              <c:numCache>
                <c:formatCode>General</c:formatCode>
                <c:ptCount val="141"/>
                <c:pt idx="0">
                  <c:v>0</c:v>
                </c:pt>
                <c:pt idx="1">
                  <c:v>0.5</c:v>
                </c:pt>
                <c:pt idx="2">
                  <c:v>0.95</c:v>
                </c:pt>
                <c:pt idx="3">
                  <c:v>1.3487499999999999</c:v>
                </c:pt>
                <c:pt idx="4">
                  <c:v>1.6957499999999999</c:v>
                </c:pt>
                <c:pt idx="5">
                  <c:v>1.9911906249999998</c:v>
                </c:pt>
                <c:pt idx="6">
                  <c:v>2.2358903124999996</c:v>
                </c:pt>
                <c:pt idx="7">
                  <c:v>2.4312301484374998</c:v>
                </c:pt>
                <c:pt idx="8">
                  <c:v>2.579087371875</c:v>
                </c:pt>
                <c:pt idx="9">
                  <c:v>2.6817684961132811</c:v>
                </c:pt>
                <c:pt idx="10">
                  <c:v>2.7419429157792967</c:v>
                </c:pt>
                <c:pt idx="11">
                  <c:v>2.7625777872772947</c:v>
                </c:pt>
                <c:pt idx="12">
                  <c:v>2.7468748851782516</c:v>
                </c:pt>
                <c:pt idx="13">
                  <c:v>2.6982100509481466</c:v>
                </c:pt>
                <c:pt idx="14">
                  <c:v>2.6200757640763239</c:v>
                </c:pt>
                <c:pt idx="15">
                  <c:v>2.516027280254832</c:v>
                </c:pt>
                <c:pt idx="16">
                  <c:v>2.3896326977645352</c:v>
                </c:pt>
                <c:pt idx="17">
                  <c:v>2.2444272325200827</c:v>
                </c:pt>
                <c:pt idx="18">
                  <c:v>2.0838719050780186</c:v>
                </c:pt>
                <c:pt idx="19">
                  <c:v>1.9113167699736597</c:v>
                </c:pt>
                <c:pt idx="20">
                  <c:v>1.7299687495662617</c:v>
                </c:pt>
                <c:pt idx="21">
                  <c:v>1.5428640715749327</c:v>
                </c:pt>
                <c:pt idx="22">
                  <c:v>1.3528452520131584</c:v>
                </c:pt>
                <c:pt idx="23">
                  <c:v>1.1625425135128749</c:v>
                </c:pt>
                <c:pt idx="24">
                  <c:v>0.97435948321245514</c:v>
                </c:pt>
                <c:pt idx="25">
                  <c:v>0.7904629745231665</c:v>
                </c:pt>
                <c:pt idx="26">
                  <c:v>0.61277662316265091</c:v>
                </c:pt>
                <c:pt idx="27">
                  <c:v>0.44297811975664736</c:v>
                </c:pt>
                <c:pt idx="28">
                  <c:v>0.28249975890171097</c:v>
                </c:pt>
                <c:pt idx="29">
                  <c:v>0.13253200763531015</c:v>
                </c:pt>
                <c:pt idx="30">
                  <c:v>-5.970215490722075E-3</c:v>
                </c:pt>
                <c:pt idx="31">
                  <c:v>-0.13227886639959238</c:v>
                </c:pt>
                <c:pt idx="32">
                  <c:v>-0.24588202452394164</c:v>
                </c:pt>
                <c:pt idx="33">
                  <c:v>-0.34647138100586111</c:v>
                </c:pt>
                <c:pt idx="34">
                  <c:v>-0.43392827653303939</c:v>
                </c:pt>
                <c:pt idx="35">
                  <c:v>-0.50830859024492669</c:v>
                </c:pt>
                <c:pt idx="36">
                  <c:v>-0.56982676912896213</c:v>
                </c:pt>
                <c:pt idx="37">
                  <c:v>-0.6188392727465325</c:v>
                </c:pt>
                <c:pt idx="38">
                  <c:v>-0.65582769138823371</c:v>
                </c:pt>
                <c:pt idx="39">
                  <c:v>-0.68138177725643323</c:v>
                </c:pt>
                <c:pt idx="40">
                  <c:v>-0.69618260839545976</c:v>
                </c:pt>
                <c:pt idx="41">
                  <c:v>-0.70098608420487829</c:v>
                </c:pt>
                <c:pt idx="42">
                  <c:v>-0.69660692982841166</c:v>
                </c:pt>
                <c:pt idx="43">
                  <c:v>-0.68390336483703074</c:v>
                </c:pt>
                <c:pt idx="44">
                  <c:v>-0.6637625697219327</c:v>
                </c:pt>
                <c:pt idx="45">
                  <c:v>-0.63708706205788157</c:v>
                </c:pt>
                <c:pt idx="46">
                  <c:v>-0.60478207303871145</c:v>
                </c:pt>
                <c:pt idx="47">
                  <c:v>-0.56774399464573477</c:v>
                </c:pt>
                <c:pt idx="48">
                  <c:v>-0.52684994817907194</c:v>
                </c:pt>
                <c:pt idx="49">
                  <c:v>-0.48294850642600379</c:v>
                </c:pt>
                <c:pt idx="50">
                  <c:v>-0.43685158449600403</c:v>
                </c:pt>
                <c:pt idx="51">
                  <c:v>-0.3893274984286792</c:v>
                </c:pt>
                <c:pt idx="52">
                  <c:v>-0.34109517616188678</c:v>
                </c:pt>
                <c:pt idx="53">
                  <c:v>-0.29281949239141514</c:v>
                </c:pt>
                <c:pt idx="54">
                  <c:v>-0.24510768729596707</c:v>
                </c:pt>
                <c:pt idx="55">
                  <c:v>-0.19850681905517117</c:v>
                </c:pt>
                <c:pt idx="56">
                  <c:v>-0.15350219154725528</c:v>
                </c:pt>
                <c:pt idx="57">
                  <c:v>-0.11051669155194133</c:v>
                </c:pt>
                <c:pt idx="58">
                  <c:v>-6.9910964161818023E-2</c:v>
                </c:pt>
                <c:pt idx="59">
                  <c:v>-3.1984350866307784E-2</c:v>
                </c:pt>
                <c:pt idx="60">
                  <c:v>3.0234881516742057E-3</c:v>
                </c:pt>
                <c:pt idx="61">
                  <c:v>3.4930347653686827E-2</c:v>
                </c:pt>
                <c:pt idx="62">
                  <c:v>6.3608727603602297E-2</c:v>
                </c:pt>
                <c:pt idx="63">
                  <c:v>8.8982640212855096E-2</c:v>
                </c:pt>
                <c:pt idx="64">
                  <c:v>0.11102405246613765</c:v>
                </c:pt>
                <c:pt idx="65">
                  <c:v>0.12974904049143124</c:v>
                </c:pt>
                <c:pt idx="66">
                  <c:v>0.14521372905836871</c:v>
                </c:pt>
                <c:pt idx="67">
                  <c:v>0.15751008576246964</c:v>
                </c:pt>
                <c:pt idx="68">
                  <c:v>0.16676163518293083</c:v>
                </c:pt>
                <c:pt idx="69">
                  <c:v>0.17311915358931509</c:v>
                </c:pt>
                <c:pt idx="70">
                  <c:v>0.17675639971527415</c:v>
                </c:pt>
                <c:pt idx="71">
                  <c:v>0.17786593180877092</c:v>
                </c:pt>
                <c:pt idx="72">
                  <c:v>0.17665505569647708</c:v>
                </c:pt>
                <c:pt idx="73">
                  <c:v>0.17334194304780295</c:v>
                </c:pt>
                <c:pt idx="74">
                  <c:v>0.16815195346779033</c:v>
                </c:pt>
                <c:pt idx="75">
                  <c:v>0.16131418855768148</c:v>
                </c:pt>
                <c:pt idx="76">
                  <c:v>0.1530583007202361</c:v>
                </c:pt>
                <c:pt idx="77">
                  <c:v>0.14361157430956425</c:v>
                </c:pt>
                <c:pt idx="78">
                  <c:v>0.13319629178095665</c:v>
                </c:pt>
                <c:pt idx="79">
                  <c:v>0.12202739282634024</c:v>
                </c:pt>
                <c:pt idx="80">
                  <c:v>0.1103104301199235</c:v>
                </c:pt>
                <c:pt idx="81">
                  <c:v>9.8239821273819194E-2</c:v>
                </c:pt>
                <c:pt idx="82">
                  <c:v>8.5997392935826297E-2</c:v>
                </c:pt>
                <c:pt idx="83">
                  <c:v>7.3751209665710027E-2</c:v>
                </c:pt>
                <c:pt idx="84">
                  <c:v>6.1654677310907458E-2</c:v>
                </c:pt>
                <c:pt idx="85">
                  <c:v>4.9845908070763792E-2</c:v>
                </c:pt>
                <c:pt idx="86">
                  <c:v>3.8447332288248197E-2</c:v>
                </c:pt>
                <c:pt idx="87">
                  <c:v>2.7565540233099609E-2</c:v>
                </c:pt>
                <c:pt idx="88">
                  <c:v>1.7291335729862793E-2</c:v>
                </c:pt>
                <c:pt idx="89">
                  <c:v>7.6999824240358925E-3</c:v>
                </c:pt>
                <c:pt idx="90">
                  <c:v>-1.1483772478316535E-3</c:v>
                </c:pt>
                <c:pt idx="91">
                  <c:v>-9.2081507328128677E-3</c:v>
                </c:pt>
                <c:pt idx="92">
                  <c:v>-1.6447592153698086E-2</c:v>
                </c:pt>
                <c:pt idx="93">
                  <c:v>-2.284798754833459E-2</c:v>
                </c:pt>
                <c:pt idx="94">
                  <c:v>-2.8402748501586261E-2</c:v>
                </c:pt>
                <c:pt idx="95">
                  <c:v>-3.3116433515158625E-2</c:v>
                </c:pt>
                <c:pt idx="96">
                  <c:v>-3.7003715671103915E-2</c:v>
                </c:pt>
                <c:pt idx="97">
                  <c:v>-4.0088314192515143E-2</c:v>
                </c:pt>
                <c:pt idx="98">
                  <c:v>-4.2401906415896418E-2</c:v>
                </c:pt>
                <c:pt idx="99">
                  <c:v>-4.3983035489533182E-2</c:v>
                </c:pt>
                <c:pt idx="100">
                  <c:v>-4.487602782560754E-2</c:v>
                </c:pt>
                <c:pt idx="101">
                  <c:v>-4.5129932984455251E-2</c:v>
                </c:pt>
                <c:pt idx="102">
                  <c:v>-4.4797497279598128E-2</c:v>
                </c:pt>
                <c:pt idx="103">
                  <c:v>-4.3934180982921088E-2</c:v>
                </c:pt>
                <c:pt idx="104">
                  <c:v>-4.2597227599916673E-2</c:v>
                </c:pt>
                <c:pt idx="105">
                  <c:v>-4.0844792292926285E-2</c:v>
                </c:pt>
                <c:pt idx="106">
                  <c:v>-3.8735135171635918E-2</c:v>
                </c:pt>
                <c:pt idx="107">
                  <c:v>-3.6325883858813079E-2</c:v>
                </c:pt>
                <c:pt idx="108">
                  <c:v>-3.3673368487627031E-2</c:v>
                </c:pt>
                <c:pt idx="109">
                  <c:v>-3.0832031105324488E-2</c:v>
                </c:pt>
                <c:pt idx="110">
                  <c:v>-2.7853910355156788E-2</c:v>
                </c:pt>
                <c:pt idx="111">
                  <c:v>-2.4788201291189284E-2</c:v>
                </c:pt>
                <c:pt idx="112">
                  <c:v>-2.1680889254179127E-2</c:v>
                </c:pt>
                <c:pt idx="113">
                  <c:v>-1.8574455904730083E-2</c:v>
                </c:pt>
                <c:pt idx="114">
                  <c:v>-1.5507654774548765E-2</c:v>
                </c:pt>
                <c:pt idx="115">
                  <c:v>-1.2515353058576408E-2</c:v>
                </c:pt>
                <c:pt idx="116">
                  <c:v>-9.6284358295194456E-3</c:v>
                </c:pt>
                <c:pt idx="117">
                  <c:v>-6.8737684101359397E-3</c:v>
                </c:pt>
                <c:pt idx="118">
                  <c:v>-4.2742122848217663E-3</c:v>
                </c:pt>
                <c:pt idx="119">
                  <c:v>-1.8486896669124291E-3</c:v>
                </c:pt>
                <c:pt idx="120">
                  <c:v>3.8770834276637915E-4</c:v>
                </c:pt>
                <c:pt idx="121">
                  <c:v>2.4235751723136853E-3</c:v>
                </c:pt>
                <c:pt idx="122">
                  <c:v>4.2510089646216496E-3</c:v>
                </c:pt>
                <c:pt idx="123">
                  <c:v>5.8654046880448393E-3</c:v>
                </c:pt>
                <c:pt idx="124">
                  <c:v>7.2652232270679516E-3</c:v>
                </c:pt>
                <c:pt idx="125">
                  <c:v>8.4517423535881656E-3</c:v>
                </c:pt>
                <c:pt idx="126">
                  <c:v>9.4287942771180463E-3</c:v>
                </c:pt>
                <c:pt idx="127">
                  <c:v>1.0202494228875092E-2</c:v>
                </c:pt>
                <c:pt idx="128">
                  <c:v>1.0780964256992464E-2</c:v>
                </c:pt>
                <c:pt idx="129">
                  <c:v>1.1174056104437179E-2</c:v>
                </c:pt>
                <c:pt idx="130">
                  <c:v>1.1393076713924954E-2</c:v>
                </c:pt>
                <c:pt idx="131">
                  <c:v>1.1450519561158478E-2</c:v>
                </c:pt>
                <c:pt idx="132">
                  <c:v>1.1359804664744622E-2</c:v>
                </c:pt>
                <c:pt idx="133">
                  <c:v>1.1135029763457704E-2</c:v>
                </c:pt>
                <c:pt idx="134">
                  <c:v>1.0790734793990153E-2</c:v>
                </c:pt>
                <c:pt idx="135">
                  <c:v>1.0341681449426132E-2</c:v>
                </c:pt>
                <c:pt idx="136">
                  <c:v>9.8026492543936018E-3</c:v>
                </c:pt>
                <c:pt idx="137">
                  <c:v>9.1882492607464825E-3</c:v>
                </c:pt>
                <c:pt idx="138">
                  <c:v>8.5127561507842599E-3</c:v>
                </c:pt>
                <c:pt idx="139">
                  <c:v>7.7899592360589163E-3</c:v>
                </c:pt>
                <c:pt idx="140">
                  <c:v>7.0330325609212459E-3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D8-4420-9866-B91E16F38F39}"/>
            </c:ext>
          </c:extLst>
        </c:ser>
        <c:ser>
          <c:idx val="1"/>
          <c:order val="1"/>
          <c:tx>
            <c:strRef>
              <c:f>'Problem 5'!$G$23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'Problem 5'!$E$24:$E$164</c:f>
              <c:numCache>
                <c:formatCode>0.00</c:formatCode>
                <c:ptCount val="14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  <c:pt idx="54">
                  <c:v>2.6999999999999984</c:v>
                </c:pt>
                <c:pt idx="55">
                  <c:v>2.7499999999999982</c:v>
                </c:pt>
                <c:pt idx="56">
                  <c:v>2.799999999999998</c:v>
                </c:pt>
                <c:pt idx="57">
                  <c:v>2.8499999999999979</c:v>
                </c:pt>
                <c:pt idx="58">
                  <c:v>2.8999999999999977</c:v>
                </c:pt>
                <c:pt idx="59">
                  <c:v>2.9499999999999975</c:v>
                </c:pt>
                <c:pt idx="60">
                  <c:v>2.9999999999999973</c:v>
                </c:pt>
                <c:pt idx="61">
                  <c:v>3.0499999999999972</c:v>
                </c:pt>
                <c:pt idx="62">
                  <c:v>3.099999999999997</c:v>
                </c:pt>
                <c:pt idx="63">
                  <c:v>3.1499999999999968</c:v>
                </c:pt>
                <c:pt idx="64">
                  <c:v>3.1999999999999966</c:v>
                </c:pt>
                <c:pt idx="65">
                  <c:v>3.2499999999999964</c:v>
                </c:pt>
                <c:pt idx="66">
                  <c:v>3.2999999999999963</c:v>
                </c:pt>
                <c:pt idx="67">
                  <c:v>3.3499999999999961</c:v>
                </c:pt>
                <c:pt idx="68">
                  <c:v>3.3999999999999959</c:v>
                </c:pt>
                <c:pt idx="69">
                  <c:v>3.4499999999999957</c:v>
                </c:pt>
                <c:pt idx="70">
                  <c:v>3.4999999999999956</c:v>
                </c:pt>
                <c:pt idx="71">
                  <c:v>3.5499999999999954</c:v>
                </c:pt>
                <c:pt idx="72">
                  <c:v>3.5999999999999952</c:v>
                </c:pt>
                <c:pt idx="73">
                  <c:v>3.649999999999995</c:v>
                </c:pt>
                <c:pt idx="74">
                  <c:v>3.6999999999999948</c:v>
                </c:pt>
                <c:pt idx="75">
                  <c:v>3.7499999999999947</c:v>
                </c:pt>
                <c:pt idx="76">
                  <c:v>3.7999999999999945</c:v>
                </c:pt>
                <c:pt idx="77">
                  <c:v>3.8499999999999943</c:v>
                </c:pt>
                <c:pt idx="78">
                  <c:v>3.8999999999999941</c:v>
                </c:pt>
                <c:pt idx="79">
                  <c:v>3.949999999999994</c:v>
                </c:pt>
                <c:pt idx="80">
                  <c:v>3.9999999999999938</c:v>
                </c:pt>
                <c:pt idx="81">
                  <c:v>4.0499999999999936</c:v>
                </c:pt>
                <c:pt idx="82">
                  <c:v>4.0999999999999934</c:v>
                </c:pt>
                <c:pt idx="83">
                  <c:v>4.1499999999999932</c:v>
                </c:pt>
                <c:pt idx="84">
                  <c:v>4.1999999999999931</c:v>
                </c:pt>
                <c:pt idx="85">
                  <c:v>4.2499999999999929</c:v>
                </c:pt>
                <c:pt idx="86">
                  <c:v>4.2999999999999927</c:v>
                </c:pt>
                <c:pt idx="87">
                  <c:v>4.3499999999999925</c:v>
                </c:pt>
                <c:pt idx="88">
                  <c:v>4.3999999999999924</c:v>
                </c:pt>
                <c:pt idx="89">
                  <c:v>4.4499999999999922</c:v>
                </c:pt>
                <c:pt idx="90">
                  <c:v>4.499999999999992</c:v>
                </c:pt>
                <c:pt idx="91">
                  <c:v>4.5499999999999918</c:v>
                </c:pt>
                <c:pt idx="92">
                  <c:v>4.5999999999999917</c:v>
                </c:pt>
                <c:pt idx="93">
                  <c:v>4.6499999999999915</c:v>
                </c:pt>
                <c:pt idx="94">
                  <c:v>4.6999999999999913</c:v>
                </c:pt>
                <c:pt idx="95">
                  <c:v>4.7499999999999911</c:v>
                </c:pt>
                <c:pt idx="96">
                  <c:v>4.7999999999999909</c:v>
                </c:pt>
                <c:pt idx="97">
                  <c:v>4.8499999999999908</c:v>
                </c:pt>
                <c:pt idx="98">
                  <c:v>4.8999999999999906</c:v>
                </c:pt>
                <c:pt idx="99">
                  <c:v>4.9499999999999904</c:v>
                </c:pt>
                <c:pt idx="100">
                  <c:v>4.9999999999999902</c:v>
                </c:pt>
                <c:pt idx="101">
                  <c:v>5.0499999999999901</c:v>
                </c:pt>
                <c:pt idx="102">
                  <c:v>5.0999999999999899</c:v>
                </c:pt>
                <c:pt idx="103">
                  <c:v>5.1499999999999897</c:v>
                </c:pt>
                <c:pt idx="104">
                  <c:v>5.1999999999999895</c:v>
                </c:pt>
                <c:pt idx="105">
                  <c:v>5.2499999999999893</c:v>
                </c:pt>
                <c:pt idx="106">
                  <c:v>5.2999999999999892</c:v>
                </c:pt>
                <c:pt idx="107">
                  <c:v>5.349999999999989</c:v>
                </c:pt>
                <c:pt idx="108">
                  <c:v>5.3999999999999888</c:v>
                </c:pt>
                <c:pt idx="109">
                  <c:v>5.4499999999999886</c:v>
                </c:pt>
                <c:pt idx="110">
                  <c:v>5.4999999999999885</c:v>
                </c:pt>
                <c:pt idx="111">
                  <c:v>5.5499999999999883</c:v>
                </c:pt>
                <c:pt idx="112">
                  <c:v>5.5999999999999881</c:v>
                </c:pt>
                <c:pt idx="113">
                  <c:v>5.6499999999999879</c:v>
                </c:pt>
                <c:pt idx="114">
                  <c:v>5.6999999999999877</c:v>
                </c:pt>
                <c:pt idx="115">
                  <c:v>5.7499999999999876</c:v>
                </c:pt>
                <c:pt idx="116">
                  <c:v>5.7999999999999874</c:v>
                </c:pt>
                <c:pt idx="117">
                  <c:v>5.8499999999999872</c:v>
                </c:pt>
                <c:pt idx="118">
                  <c:v>5.899999999999987</c:v>
                </c:pt>
                <c:pt idx="119">
                  <c:v>5.9499999999999869</c:v>
                </c:pt>
                <c:pt idx="120">
                  <c:v>5.9999999999999867</c:v>
                </c:pt>
                <c:pt idx="121">
                  <c:v>6.0499999999999865</c:v>
                </c:pt>
                <c:pt idx="122">
                  <c:v>6.0999999999999863</c:v>
                </c:pt>
                <c:pt idx="123">
                  <c:v>6.1499999999999861</c:v>
                </c:pt>
                <c:pt idx="124">
                  <c:v>6.199999999999986</c:v>
                </c:pt>
                <c:pt idx="125">
                  <c:v>6.2499999999999858</c:v>
                </c:pt>
                <c:pt idx="126">
                  <c:v>6.2999999999999856</c:v>
                </c:pt>
                <c:pt idx="127">
                  <c:v>6.3499999999999854</c:v>
                </c:pt>
                <c:pt idx="128">
                  <c:v>6.3999999999999853</c:v>
                </c:pt>
                <c:pt idx="129">
                  <c:v>6.4499999999999851</c:v>
                </c:pt>
                <c:pt idx="130">
                  <c:v>6.4999999999999849</c:v>
                </c:pt>
                <c:pt idx="131">
                  <c:v>6.5499999999999847</c:v>
                </c:pt>
                <c:pt idx="132">
                  <c:v>6.5999999999999845</c:v>
                </c:pt>
                <c:pt idx="133">
                  <c:v>6.6499999999999844</c:v>
                </c:pt>
                <c:pt idx="134">
                  <c:v>6.6999999999999842</c:v>
                </c:pt>
                <c:pt idx="135">
                  <c:v>6.749999999999984</c:v>
                </c:pt>
                <c:pt idx="136">
                  <c:v>6.7999999999999838</c:v>
                </c:pt>
                <c:pt idx="137">
                  <c:v>6.8499999999999837</c:v>
                </c:pt>
                <c:pt idx="138">
                  <c:v>6.8999999999999835</c:v>
                </c:pt>
                <c:pt idx="139">
                  <c:v>6.9499999999999833</c:v>
                </c:pt>
                <c:pt idx="140">
                  <c:v>6.9999999999999831</c:v>
                </c:pt>
              </c:numCache>
            </c:numRef>
          </c:xVal>
          <c:yVal>
            <c:numRef>
              <c:f>'Problem 5'!$G$24:$G$164</c:f>
              <c:numCache>
                <c:formatCode>General</c:formatCode>
                <c:ptCount val="141"/>
                <c:pt idx="0">
                  <c:v>0</c:v>
                </c:pt>
                <c:pt idx="1">
                  <c:v>0</c:v>
                </c:pt>
                <c:pt idx="2">
                  <c:v>2.5000000000000001E-2</c:v>
                </c:pt>
                <c:pt idx="3">
                  <c:v>7.2500000000000009E-2</c:v>
                </c:pt>
                <c:pt idx="4">
                  <c:v>0.13993749999999999</c:v>
                </c:pt>
                <c:pt idx="5">
                  <c:v>0.22472500000000001</c:v>
                </c:pt>
                <c:pt idx="6">
                  <c:v>0.32428453125000001</c:v>
                </c:pt>
                <c:pt idx="7">
                  <c:v>0.43607904687499999</c:v>
                </c:pt>
                <c:pt idx="8">
                  <c:v>0.55764055429687498</c:v>
                </c:pt>
                <c:pt idx="9">
                  <c:v>0.68659492289062496</c:v>
                </c:pt>
                <c:pt idx="10">
                  <c:v>0.82068334769628903</c:v>
                </c:pt>
                <c:pt idx="11">
                  <c:v>0.95778049348525385</c:v>
                </c:pt>
                <c:pt idx="12">
                  <c:v>1.0959093828491187</c:v>
                </c:pt>
                <c:pt idx="13">
                  <c:v>1.2332531271080311</c:v>
                </c:pt>
                <c:pt idx="14">
                  <c:v>1.3681636296554385</c:v>
                </c:pt>
                <c:pt idx="15">
                  <c:v>1.4991674178592547</c:v>
                </c:pt>
                <c:pt idx="16">
                  <c:v>1.6249687818719962</c:v>
                </c:pt>
                <c:pt idx="17">
                  <c:v>1.7444504167602231</c:v>
                </c:pt>
                <c:pt idx="18">
                  <c:v>1.8566717783862272</c:v>
                </c:pt>
                <c:pt idx="19">
                  <c:v>1.9608653736401283</c:v>
                </c:pt>
                <c:pt idx="20">
                  <c:v>2.0564312121388113</c:v>
                </c:pt>
                <c:pt idx="21">
                  <c:v>2.1429296496171242</c:v>
                </c:pt>
                <c:pt idx="22">
                  <c:v>2.2200728531958709</c:v>
                </c:pt>
                <c:pt idx="23">
                  <c:v>2.2877151157965288</c:v>
                </c:pt>
                <c:pt idx="24">
                  <c:v>2.3458422414721727</c:v>
                </c:pt>
                <c:pt idx="25">
                  <c:v>2.3945602156327954</c:v>
                </c:pt>
                <c:pt idx="26">
                  <c:v>2.4340833643589539</c:v>
                </c:pt>
                <c:pt idx="27">
                  <c:v>2.4647221955170866</c:v>
                </c:pt>
                <c:pt idx="28">
                  <c:v>2.486871101504919</c:v>
                </c:pt>
                <c:pt idx="29">
                  <c:v>2.5009960894500045</c:v>
                </c:pt>
                <c:pt idx="30">
                  <c:v>2.5076226898317699</c:v>
                </c:pt>
                <c:pt idx="31">
                  <c:v>2.507324179057234</c:v>
                </c:pt>
                <c:pt idx="32">
                  <c:v>2.5007102357372544</c:v>
                </c:pt>
                <c:pt idx="33">
                  <c:v>2.4884161345110574</c:v>
                </c:pt>
                <c:pt idx="34">
                  <c:v>2.4710925654607645</c:v>
                </c:pt>
                <c:pt idx="35">
                  <c:v>2.4493961516341125</c:v>
                </c:pt>
                <c:pt idx="36">
                  <c:v>2.4239807221218661</c:v>
                </c:pt>
                <c:pt idx="37">
                  <c:v>2.3954893836654181</c:v>
                </c:pt>
                <c:pt idx="38">
                  <c:v>2.3645474200280914</c:v>
                </c:pt>
                <c:pt idx="39">
                  <c:v>2.3317560354586795</c:v>
                </c:pt>
                <c:pt idx="40">
                  <c:v>2.2976869465958578</c:v>
                </c:pt>
                <c:pt idx="41">
                  <c:v>2.262877816176085</c:v>
                </c:pt>
                <c:pt idx="42">
                  <c:v>2.227828511965841</c:v>
                </c:pt>
                <c:pt idx="43">
                  <c:v>2.1929981654744202</c:v>
                </c:pt>
                <c:pt idx="44">
                  <c:v>2.1588029972325686</c:v>
                </c:pt>
                <c:pt idx="45">
                  <c:v>2.1256148687464722</c:v>
                </c:pt>
                <c:pt idx="46">
                  <c:v>2.0937605156435781</c:v>
                </c:pt>
                <c:pt idx="47">
                  <c:v>2.0635214119916427</c:v>
                </c:pt>
                <c:pt idx="48">
                  <c:v>2.0351342122593561</c:v>
                </c:pt>
                <c:pt idx="49">
                  <c:v>2.0087917148504024</c:v>
                </c:pt>
                <c:pt idx="50">
                  <c:v>1.9846442895291023</c:v>
                </c:pt>
                <c:pt idx="51">
                  <c:v>1.9628017103043021</c:v>
                </c:pt>
                <c:pt idx="52">
                  <c:v>1.9433353353828682</c:v>
                </c:pt>
                <c:pt idx="53">
                  <c:v>1.9262805765747739</c:v>
                </c:pt>
                <c:pt idx="54">
                  <c:v>1.9116396019552031</c:v>
                </c:pt>
                <c:pt idx="55">
                  <c:v>1.8993842175904048</c:v>
                </c:pt>
                <c:pt idx="56">
                  <c:v>1.8894588766376461</c:v>
                </c:pt>
                <c:pt idx="57">
                  <c:v>1.8817837670602833</c:v>
                </c:pt>
                <c:pt idx="58">
                  <c:v>1.8762579324826862</c:v>
                </c:pt>
                <c:pt idx="59">
                  <c:v>1.8727623842745953</c:v>
                </c:pt>
                <c:pt idx="60">
                  <c:v>1.8711631667312798</c:v>
                </c:pt>
                <c:pt idx="61">
                  <c:v>1.8713143411388635</c:v>
                </c:pt>
                <c:pt idx="62">
                  <c:v>1.8730608585215478</c:v>
                </c:pt>
                <c:pt idx="63">
                  <c:v>1.876241294901728</c:v>
                </c:pt>
                <c:pt idx="64">
                  <c:v>1.8806904269123708</c:v>
                </c:pt>
                <c:pt idx="65">
                  <c:v>1.8862416295356776</c:v>
                </c:pt>
                <c:pt idx="66">
                  <c:v>1.8927290815602491</c:v>
                </c:pt>
                <c:pt idx="67">
                  <c:v>1.8999897680131674</c:v>
                </c:pt>
                <c:pt idx="68">
                  <c:v>1.907865272301291</c:v>
                </c:pt>
                <c:pt idx="69">
                  <c:v>1.9162033540604375</c:v>
                </c:pt>
                <c:pt idx="70">
                  <c:v>1.9248593117399033</c:v>
                </c:pt>
                <c:pt idx="71">
                  <c:v>1.933697131725667</c:v>
                </c:pt>
                <c:pt idx="72">
                  <c:v>1.9425904283161055</c:v>
                </c:pt>
                <c:pt idx="73">
                  <c:v>1.9514231811009293</c:v>
                </c:pt>
                <c:pt idx="74">
                  <c:v>1.9600902782533194</c:v>
                </c:pt>
                <c:pt idx="75">
                  <c:v>1.9684978759267089</c:v>
                </c:pt>
                <c:pt idx="76">
                  <c:v>1.9765635853545929</c:v>
                </c:pt>
                <c:pt idx="77">
                  <c:v>1.9842165003906047</c:v>
                </c:pt>
                <c:pt idx="78">
                  <c:v>1.9913970791060829</c:v>
                </c:pt>
                <c:pt idx="79">
                  <c:v>1.9980568936951306</c:v>
                </c:pt>
                <c:pt idx="80">
                  <c:v>2.0041582633364476</c:v>
                </c:pt>
                <c:pt idx="81">
                  <c:v>2.0096737848424437</c:v>
                </c:pt>
                <c:pt idx="82">
                  <c:v>2.0145857759061347</c:v>
                </c:pt>
                <c:pt idx="83">
                  <c:v>2.0188856455529263</c:v>
                </c:pt>
                <c:pt idx="84">
                  <c:v>2.0225732060362116</c:v>
                </c:pt>
                <c:pt idx="85">
                  <c:v>2.0256559399017569</c:v>
                </c:pt>
                <c:pt idx="86">
                  <c:v>2.0281482353052951</c:v>
                </c:pt>
                <c:pt idx="87">
                  <c:v>2.0300706019197077</c:v>
                </c:pt>
                <c:pt idx="88">
                  <c:v>2.0314488789313625</c:v>
                </c:pt>
                <c:pt idx="89">
                  <c:v>2.0323134457178558</c:v>
                </c:pt>
                <c:pt idx="90">
                  <c:v>2.0326984448390575</c:v>
                </c:pt>
                <c:pt idx="91">
                  <c:v>2.0326410259766661</c:v>
                </c:pt>
                <c:pt idx="92">
                  <c:v>2.0321806184400253</c:v>
                </c:pt>
                <c:pt idx="93">
                  <c:v>2.0313582388323406</c:v>
                </c:pt>
                <c:pt idx="94">
                  <c:v>2.0302158394549239</c:v>
                </c:pt>
                <c:pt idx="95">
                  <c:v>2.0287957020298446</c:v>
                </c:pt>
                <c:pt idx="96">
                  <c:v>2.0271398803540865</c:v>
                </c:pt>
                <c:pt idx="97">
                  <c:v>2.0252896945705312</c:v>
                </c:pt>
                <c:pt idx="98">
                  <c:v>2.0232852788609055</c:v>
                </c:pt>
                <c:pt idx="99">
                  <c:v>2.0211651835401105</c:v>
                </c:pt>
                <c:pt idx="100">
                  <c:v>2.0189660317656339</c:v>
                </c:pt>
                <c:pt idx="101">
                  <c:v>2.0167222303743535</c:v>
                </c:pt>
                <c:pt idx="102">
                  <c:v>2.0144657337251308</c:v>
                </c:pt>
                <c:pt idx="103">
                  <c:v>2.012225858861151</c:v>
                </c:pt>
                <c:pt idx="104">
                  <c:v>2.0100291498120049</c:v>
                </c:pt>
                <c:pt idx="105">
                  <c:v>2.007899288432009</c:v>
                </c:pt>
                <c:pt idx="106">
                  <c:v>2.0058570488173628</c:v>
                </c:pt>
                <c:pt idx="107">
                  <c:v>2.0039202920587811</c:v>
                </c:pt>
                <c:pt idx="108">
                  <c:v>2.0021039978658406</c:v>
                </c:pt>
                <c:pt idx="109">
                  <c:v>2.0004203294414591</c:v>
                </c:pt>
                <c:pt idx="110">
                  <c:v>1.9988787278861928</c:v>
                </c:pt>
                <c:pt idx="111">
                  <c:v>1.9974860323684349</c:v>
                </c:pt>
                <c:pt idx="112">
                  <c:v>1.9962466223038755</c:v>
                </c:pt>
                <c:pt idx="113">
                  <c:v>1.9951625778411666</c:v>
                </c:pt>
                <c:pt idx="114">
                  <c:v>1.99423385504593</c:v>
                </c:pt>
                <c:pt idx="115">
                  <c:v>1.9934584723072026</c:v>
                </c:pt>
                <c:pt idx="116">
                  <c:v>1.9928327046542738</c:v>
                </c:pt>
                <c:pt idx="117">
                  <c:v>1.9923512828627978</c:v>
                </c:pt>
                <c:pt idx="118">
                  <c:v>1.992007594442291</c:v>
                </c:pt>
                <c:pt idx="119">
                  <c:v>1.99179388382805</c:v>
                </c:pt>
                <c:pt idx="120">
                  <c:v>1.9917014493447043</c:v>
                </c:pt>
                <c:pt idx="121">
                  <c:v>1.9917208347618427</c:v>
                </c:pt>
                <c:pt idx="122">
                  <c:v>1.9918420135204584</c:v>
                </c:pt>
                <c:pt idx="123">
                  <c:v>1.9920545639686895</c:v>
                </c:pt>
                <c:pt idx="124">
                  <c:v>1.9923478342030918</c:v>
                </c:pt>
                <c:pt idx="125">
                  <c:v>1.9927110953644451</c:v>
                </c:pt>
                <c:pt idx="126">
                  <c:v>1.9931336824821246</c:v>
                </c:pt>
                <c:pt idx="127">
                  <c:v>1.9936051221959805</c:v>
                </c:pt>
                <c:pt idx="128">
                  <c:v>1.9941152469074244</c:v>
                </c:pt>
                <c:pt idx="129">
                  <c:v>1.9946542951202739</c:v>
                </c:pt>
                <c:pt idx="130">
                  <c:v>1.9952129979254958</c:v>
                </c:pt>
                <c:pt idx="131">
                  <c:v>1.9957826517611921</c:v>
                </c:pt>
                <c:pt idx="132">
                  <c:v>1.9963551777392501</c:v>
                </c:pt>
                <c:pt idx="133">
                  <c:v>1.9969231679724873</c:v>
                </c:pt>
                <c:pt idx="134">
                  <c:v>1.9974799194606601</c:v>
                </c:pt>
                <c:pt idx="135">
                  <c:v>1.9980194562003595</c:v>
                </c:pt>
                <c:pt idx="136">
                  <c:v>1.9985365402728308</c:v>
                </c:pt>
                <c:pt idx="137">
                  <c:v>1.9990266727355506</c:v>
                </c:pt>
                <c:pt idx="138">
                  <c:v>1.9994860851985878</c:v>
                </c:pt>
                <c:pt idx="139">
                  <c:v>1.999911723006127</c:v>
                </c:pt>
                <c:pt idx="140">
                  <c:v>2.0003012209679301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D8-4420-9866-B91E16F3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856544"/>
        <c:axId val="239844288"/>
      </c:scatterChart>
      <c:valAx>
        <c:axId val="247856544"/>
        <c:scaling>
          <c:orientation val="minMax"/>
          <c:max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9844288"/>
        <c:crosses val="autoZero"/>
        <c:crossBetween val="midCat"/>
      </c:valAx>
      <c:valAx>
        <c:axId val="23984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wordArtVert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856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'Problem 6'!$C$12</c:f>
              <c:strCache>
                <c:ptCount val="1"/>
                <c:pt idx="0">
                  <c:v>Reaction(P)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'Problem 6'!$B$13:$B$413</c:f>
              <c:numCache>
                <c:formatCode>General</c:formatCode>
                <c:ptCount val="401"/>
                <c:pt idx="0">
                  <c:v>-2</c:v>
                </c:pt>
                <c:pt idx="1">
                  <c:v>-1.99</c:v>
                </c:pt>
                <c:pt idx="2">
                  <c:v>-1.98</c:v>
                </c:pt>
                <c:pt idx="3">
                  <c:v>-1.97</c:v>
                </c:pt>
                <c:pt idx="4">
                  <c:v>-1.96</c:v>
                </c:pt>
                <c:pt idx="5">
                  <c:v>-1.95</c:v>
                </c:pt>
                <c:pt idx="6">
                  <c:v>-1.94</c:v>
                </c:pt>
                <c:pt idx="7">
                  <c:v>-1.93</c:v>
                </c:pt>
                <c:pt idx="8">
                  <c:v>-1.92</c:v>
                </c:pt>
                <c:pt idx="9">
                  <c:v>-1.91</c:v>
                </c:pt>
                <c:pt idx="10">
                  <c:v>-1.9</c:v>
                </c:pt>
                <c:pt idx="11">
                  <c:v>-1.89</c:v>
                </c:pt>
                <c:pt idx="12">
                  <c:v>-1.88</c:v>
                </c:pt>
                <c:pt idx="13">
                  <c:v>-1.87</c:v>
                </c:pt>
                <c:pt idx="14">
                  <c:v>-1.86</c:v>
                </c:pt>
                <c:pt idx="15">
                  <c:v>-1.85</c:v>
                </c:pt>
                <c:pt idx="16">
                  <c:v>-1.84</c:v>
                </c:pt>
                <c:pt idx="17">
                  <c:v>-1.83</c:v>
                </c:pt>
                <c:pt idx="18">
                  <c:v>-1.82</c:v>
                </c:pt>
                <c:pt idx="19">
                  <c:v>-1.81</c:v>
                </c:pt>
                <c:pt idx="20">
                  <c:v>-1.8</c:v>
                </c:pt>
                <c:pt idx="21">
                  <c:v>-1.79</c:v>
                </c:pt>
                <c:pt idx="22">
                  <c:v>-1.78</c:v>
                </c:pt>
                <c:pt idx="23">
                  <c:v>-1.77</c:v>
                </c:pt>
                <c:pt idx="24">
                  <c:v>-1.76</c:v>
                </c:pt>
                <c:pt idx="25">
                  <c:v>-1.75</c:v>
                </c:pt>
                <c:pt idx="26">
                  <c:v>-1.74</c:v>
                </c:pt>
                <c:pt idx="27">
                  <c:v>-1.73</c:v>
                </c:pt>
                <c:pt idx="28">
                  <c:v>-1.72</c:v>
                </c:pt>
                <c:pt idx="29">
                  <c:v>-1.71</c:v>
                </c:pt>
                <c:pt idx="30">
                  <c:v>-1.7</c:v>
                </c:pt>
                <c:pt idx="31">
                  <c:v>-1.69</c:v>
                </c:pt>
                <c:pt idx="32">
                  <c:v>-1.68</c:v>
                </c:pt>
                <c:pt idx="33">
                  <c:v>-1.67</c:v>
                </c:pt>
                <c:pt idx="34">
                  <c:v>-1.66</c:v>
                </c:pt>
                <c:pt idx="35">
                  <c:v>-1.65</c:v>
                </c:pt>
                <c:pt idx="36">
                  <c:v>-1.64</c:v>
                </c:pt>
                <c:pt idx="37">
                  <c:v>-1.63</c:v>
                </c:pt>
                <c:pt idx="38">
                  <c:v>-1.62</c:v>
                </c:pt>
                <c:pt idx="39">
                  <c:v>-1.61</c:v>
                </c:pt>
                <c:pt idx="40">
                  <c:v>-1.6</c:v>
                </c:pt>
                <c:pt idx="41">
                  <c:v>-1.59</c:v>
                </c:pt>
                <c:pt idx="42">
                  <c:v>-1.58</c:v>
                </c:pt>
                <c:pt idx="43">
                  <c:v>-1.57</c:v>
                </c:pt>
                <c:pt idx="44">
                  <c:v>-1.56</c:v>
                </c:pt>
                <c:pt idx="45">
                  <c:v>-1.55</c:v>
                </c:pt>
                <c:pt idx="46">
                  <c:v>-1.54</c:v>
                </c:pt>
                <c:pt idx="47">
                  <c:v>-1.53</c:v>
                </c:pt>
                <c:pt idx="48">
                  <c:v>-1.52</c:v>
                </c:pt>
                <c:pt idx="49">
                  <c:v>-1.51</c:v>
                </c:pt>
                <c:pt idx="50">
                  <c:v>-1.5</c:v>
                </c:pt>
                <c:pt idx="51">
                  <c:v>-1.49</c:v>
                </c:pt>
                <c:pt idx="52">
                  <c:v>-1.48</c:v>
                </c:pt>
                <c:pt idx="53">
                  <c:v>-1.47</c:v>
                </c:pt>
                <c:pt idx="54">
                  <c:v>-1.46</c:v>
                </c:pt>
                <c:pt idx="55">
                  <c:v>-1.45</c:v>
                </c:pt>
                <c:pt idx="56">
                  <c:v>-1.44</c:v>
                </c:pt>
                <c:pt idx="57">
                  <c:v>-1.43</c:v>
                </c:pt>
                <c:pt idx="58">
                  <c:v>-1.42</c:v>
                </c:pt>
                <c:pt idx="59">
                  <c:v>-1.41</c:v>
                </c:pt>
                <c:pt idx="60">
                  <c:v>-1.4</c:v>
                </c:pt>
                <c:pt idx="61">
                  <c:v>-1.39</c:v>
                </c:pt>
                <c:pt idx="62">
                  <c:v>-1.38</c:v>
                </c:pt>
                <c:pt idx="63">
                  <c:v>-1.37</c:v>
                </c:pt>
                <c:pt idx="64">
                  <c:v>-1.36</c:v>
                </c:pt>
                <c:pt idx="65">
                  <c:v>-1.35</c:v>
                </c:pt>
                <c:pt idx="66">
                  <c:v>-1.34</c:v>
                </c:pt>
                <c:pt idx="67">
                  <c:v>-1.33</c:v>
                </c:pt>
                <c:pt idx="68">
                  <c:v>-1.32</c:v>
                </c:pt>
                <c:pt idx="69">
                  <c:v>-1.31</c:v>
                </c:pt>
                <c:pt idx="70">
                  <c:v>-1.3</c:v>
                </c:pt>
                <c:pt idx="71">
                  <c:v>-1.29</c:v>
                </c:pt>
                <c:pt idx="72">
                  <c:v>-1.28</c:v>
                </c:pt>
                <c:pt idx="73">
                  <c:v>-1.27</c:v>
                </c:pt>
                <c:pt idx="74">
                  <c:v>-1.26</c:v>
                </c:pt>
                <c:pt idx="75">
                  <c:v>-1.25</c:v>
                </c:pt>
                <c:pt idx="76">
                  <c:v>-1.24</c:v>
                </c:pt>
                <c:pt idx="77">
                  <c:v>-1.23</c:v>
                </c:pt>
                <c:pt idx="78">
                  <c:v>-1.22</c:v>
                </c:pt>
                <c:pt idx="79">
                  <c:v>-1.21</c:v>
                </c:pt>
                <c:pt idx="80">
                  <c:v>-1.2</c:v>
                </c:pt>
                <c:pt idx="81">
                  <c:v>-1.19</c:v>
                </c:pt>
                <c:pt idx="82">
                  <c:v>-1.18</c:v>
                </c:pt>
                <c:pt idx="83">
                  <c:v>-1.17</c:v>
                </c:pt>
                <c:pt idx="84">
                  <c:v>-1.1599999999999999</c:v>
                </c:pt>
                <c:pt idx="85">
                  <c:v>-1.1499999999999999</c:v>
                </c:pt>
                <c:pt idx="86">
                  <c:v>-1.1399999999999999</c:v>
                </c:pt>
                <c:pt idx="87">
                  <c:v>-1.1299999999999999</c:v>
                </c:pt>
                <c:pt idx="88">
                  <c:v>-1.1200000000000001</c:v>
                </c:pt>
                <c:pt idx="89">
                  <c:v>-1.1100000000000001</c:v>
                </c:pt>
                <c:pt idx="90">
                  <c:v>-1.1000000000000001</c:v>
                </c:pt>
                <c:pt idx="91">
                  <c:v>-1.0900000000000001</c:v>
                </c:pt>
                <c:pt idx="92">
                  <c:v>-1.08</c:v>
                </c:pt>
                <c:pt idx="93">
                  <c:v>-1.07</c:v>
                </c:pt>
                <c:pt idx="94">
                  <c:v>-1.06</c:v>
                </c:pt>
                <c:pt idx="95">
                  <c:v>-1.05</c:v>
                </c:pt>
                <c:pt idx="96">
                  <c:v>-1.04</c:v>
                </c:pt>
                <c:pt idx="97">
                  <c:v>-1.03</c:v>
                </c:pt>
                <c:pt idx="98">
                  <c:v>-1.02</c:v>
                </c:pt>
                <c:pt idx="99">
                  <c:v>-1.01</c:v>
                </c:pt>
                <c:pt idx="100">
                  <c:v>-1</c:v>
                </c:pt>
                <c:pt idx="101">
                  <c:v>-0.99</c:v>
                </c:pt>
                <c:pt idx="102">
                  <c:v>-0.98</c:v>
                </c:pt>
                <c:pt idx="103">
                  <c:v>-0.97</c:v>
                </c:pt>
                <c:pt idx="104">
                  <c:v>-0.96</c:v>
                </c:pt>
                <c:pt idx="105">
                  <c:v>-0.95</c:v>
                </c:pt>
                <c:pt idx="106">
                  <c:v>-0.94</c:v>
                </c:pt>
                <c:pt idx="107">
                  <c:v>-0.93</c:v>
                </c:pt>
                <c:pt idx="108">
                  <c:v>-0.92</c:v>
                </c:pt>
                <c:pt idx="109">
                  <c:v>-0.91</c:v>
                </c:pt>
                <c:pt idx="110">
                  <c:v>-0.9</c:v>
                </c:pt>
                <c:pt idx="111">
                  <c:v>-0.89</c:v>
                </c:pt>
                <c:pt idx="112">
                  <c:v>-0.88</c:v>
                </c:pt>
                <c:pt idx="113">
                  <c:v>-0.87</c:v>
                </c:pt>
                <c:pt idx="114">
                  <c:v>-0.86</c:v>
                </c:pt>
                <c:pt idx="115">
                  <c:v>-0.85</c:v>
                </c:pt>
                <c:pt idx="116">
                  <c:v>-0.84</c:v>
                </c:pt>
                <c:pt idx="117">
                  <c:v>-0.83</c:v>
                </c:pt>
                <c:pt idx="118">
                  <c:v>-0.82</c:v>
                </c:pt>
                <c:pt idx="119">
                  <c:v>-0.81</c:v>
                </c:pt>
                <c:pt idx="120">
                  <c:v>-0.8</c:v>
                </c:pt>
                <c:pt idx="121">
                  <c:v>-0.79</c:v>
                </c:pt>
                <c:pt idx="122">
                  <c:v>-0.78</c:v>
                </c:pt>
                <c:pt idx="123">
                  <c:v>-0.77</c:v>
                </c:pt>
                <c:pt idx="124">
                  <c:v>-0.76</c:v>
                </c:pt>
                <c:pt idx="125">
                  <c:v>-0.75</c:v>
                </c:pt>
                <c:pt idx="126">
                  <c:v>-0.74</c:v>
                </c:pt>
                <c:pt idx="127">
                  <c:v>-0.73</c:v>
                </c:pt>
                <c:pt idx="128">
                  <c:v>-0.72</c:v>
                </c:pt>
                <c:pt idx="129">
                  <c:v>-0.71</c:v>
                </c:pt>
                <c:pt idx="130">
                  <c:v>-0.7</c:v>
                </c:pt>
                <c:pt idx="131">
                  <c:v>-0.69</c:v>
                </c:pt>
                <c:pt idx="132">
                  <c:v>-0.68</c:v>
                </c:pt>
                <c:pt idx="133">
                  <c:v>-0.67</c:v>
                </c:pt>
                <c:pt idx="134">
                  <c:v>-0.66</c:v>
                </c:pt>
                <c:pt idx="135">
                  <c:v>-0.65</c:v>
                </c:pt>
                <c:pt idx="136">
                  <c:v>-0.64</c:v>
                </c:pt>
                <c:pt idx="137">
                  <c:v>-0.63</c:v>
                </c:pt>
                <c:pt idx="138">
                  <c:v>-0.62</c:v>
                </c:pt>
                <c:pt idx="139">
                  <c:v>-0.61</c:v>
                </c:pt>
                <c:pt idx="140">
                  <c:v>-0.6</c:v>
                </c:pt>
                <c:pt idx="141">
                  <c:v>-0.59</c:v>
                </c:pt>
                <c:pt idx="142">
                  <c:v>-0.57999999999999996</c:v>
                </c:pt>
                <c:pt idx="143">
                  <c:v>-0.56999999999999995</c:v>
                </c:pt>
                <c:pt idx="144">
                  <c:v>-0.56000000000000005</c:v>
                </c:pt>
                <c:pt idx="145">
                  <c:v>-0.55000000000000004</c:v>
                </c:pt>
                <c:pt idx="146">
                  <c:v>-0.54</c:v>
                </c:pt>
                <c:pt idx="147">
                  <c:v>-0.53</c:v>
                </c:pt>
                <c:pt idx="148">
                  <c:v>-0.52</c:v>
                </c:pt>
                <c:pt idx="149">
                  <c:v>-0.51</c:v>
                </c:pt>
                <c:pt idx="150">
                  <c:v>-0.5</c:v>
                </c:pt>
                <c:pt idx="151">
                  <c:v>-0.49</c:v>
                </c:pt>
                <c:pt idx="152">
                  <c:v>-0.48</c:v>
                </c:pt>
                <c:pt idx="153">
                  <c:v>-0.47</c:v>
                </c:pt>
                <c:pt idx="154">
                  <c:v>-0.46</c:v>
                </c:pt>
                <c:pt idx="155">
                  <c:v>-0.45</c:v>
                </c:pt>
                <c:pt idx="156">
                  <c:v>-0.44</c:v>
                </c:pt>
                <c:pt idx="157">
                  <c:v>-0.43</c:v>
                </c:pt>
                <c:pt idx="158">
                  <c:v>-0.42</c:v>
                </c:pt>
                <c:pt idx="159">
                  <c:v>-0.41</c:v>
                </c:pt>
                <c:pt idx="160">
                  <c:v>-0.4</c:v>
                </c:pt>
                <c:pt idx="161">
                  <c:v>-0.39</c:v>
                </c:pt>
                <c:pt idx="162">
                  <c:v>-0.38</c:v>
                </c:pt>
                <c:pt idx="163">
                  <c:v>-0.37</c:v>
                </c:pt>
                <c:pt idx="164">
                  <c:v>-0.36</c:v>
                </c:pt>
                <c:pt idx="165">
                  <c:v>-0.35</c:v>
                </c:pt>
                <c:pt idx="166">
                  <c:v>-0.34</c:v>
                </c:pt>
                <c:pt idx="167">
                  <c:v>-0.33</c:v>
                </c:pt>
                <c:pt idx="168">
                  <c:v>-0.32</c:v>
                </c:pt>
                <c:pt idx="169">
                  <c:v>-0.31</c:v>
                </c:pt>
                <c:pt idx="170">
                  <c:v>-0.3</c:v>
                </c:pt>
                <c:pt idx="171">
                  <c:v>-0.28999999999999998</c:v>
                </c:pt>
                <c:pt idx="172">
                  <c:v>-0.28000000000000003</c:v>
                </c:pt>
                <c:pt idx="173">
                  <c:v>-0.27</c:v>
                </c:pt>
                <c:pt idx="174">
                  <c:v>-0.26</c:v>
                </c:pt>
                <c:pt idx="175">
                  <c:v>-0.25</c:v>
                </c:pt>
                <c:pt idx="176">
                  <c:v>-0.24</c:v>
                </c:pt>
                <c:pt idx="177">
                  <c:v>-0.23</c:v>
                </c:pt>
                <c:pt idx="178">
                  <c:v>-0.22</c:v>
                </c:pt>
                <c:pt idx="179">
                  <c:v>-0.21</c:v>
                </c:pt>
                <c:pt idx="180">
                  <c:v>-0.2</c:v>
                </c:pt>
                <c:pt idx="181">
                  <c:v>-0.19</c:v>
                </c:pt>
                <c:pt idx="182">
                  <c:v>-0.18</c:v>
                </c:pt>
                <c:pt idx="183">
                  <c:v>-0.17</c:v>
                </c:pt>
                <c:pt idx="184">
                  <c:v>-0.16</c:v>
                </c:pt>
                <c:pt idx="185">
                  <c:v>-0.15</c:v>
                </c:pt>
                <c:pt idx="186">
                  <c:v>-0.14000000000000001</c:v>
                </c:pt>
                <c:pt idx="187">
                  <c:v>-0.13</c:v>
                </c:pt>
                <c:pt idx="188">
                  <c:v>-0.12</c:v>
                </c:pt>
                <c:pt idx="189">
                  <c:v>-0.11</c:v>
                </c:pt>
                <c:pt idx="190">
                  <c:v>-0.1</c:v>
                </c:pt>
                <c:pt idx="191">
                  <c:v>-9.0000000000000094E-2</c:v>
                </c:pt>
                <c:pt idx="192">
                  <c:v>-8.0000000000000099E-2</c:v>
                </c:pt>
                <c:pt idx="193">
                  <c:v>-7.0000000000000104E-2</c:v>
                </c:pt>
                <c:pt idx="194">
                  <c:v>-6.0000000000000102E-2</c:v>
                </c:pt>
                <c:pt idx="195">
                  <c:v>-0.05</c:v>
                </c:pt>
                <c:pt idx="196">
                  <c:v>-0.04</c:v>
                </c:pt>
                <c:pt idx="197">
                  <c:v>-0.03</c:v>
                </c:pt>
                <c:pt idx="198">
                  <c:v>-0.02</c:v>
                </c:pt>
                <c:pt idx="199">
                  <c:v>-0.01</c:v>
                </c:pt>
                <c:pt idx="200">
                  <c:v>0</c:v>
                </c:pt>
                <c:pt idx="201">
                  <c:v>9.9999999999997903E-3</c:v>
                </c:pt>
                <c:pt idx="202">
                  <c:v>0.02</c:v>
                </c:pt>
                <c:pt idx="203">
                  <c:v>2.9999999999999801E-2</c:v>
                </c:pt>
                <c:pt idx="204">
                  <c:v>0.04</c:v>
                </c:pt>
                <c:pt idx="205">
                  <c:v>4.9999999999999802E-2</c:v>
                </c:pt>
                <c:pt idx="206">
                  <c:v>6.0000000000000102E-2</c:v>
                </c:pt>
                <c:pt idx="207">
                  <c:v>6.9999999999999798E-2</c:v>
                </c:pt>
                <c:pt idx="208">
                  <c:v>8.0000000000000099E-2</c:v>
                </c:pt>
                <c:pt idx="209">
                  <c:v>8.99999999999999E-2</c:v>
                </c:pt>
                <c:pt idx="210">
                  <c:v>0.1</c:v>
                </c:pt>
                <c:pt idx="211">
                  <c:v>0.11</c:v>
                </c:pt>
                <c:pt idx="212">
                  <c:v>0.12</c:v>
                </c:pt>
                <c:pt idx="213">
                  <c:v>0.13</c:v>
                </c:pt>
                <c:pt idx="214">
                  <c:v>0.14000000000000001</c:v>
                </c:pt>
                <c:pt idx="215">
                  <c:v>0.15</c:v>
                </c:pt>
                <c:pt idx="216">
                  <c:v>0.16</c:v>
                </c:pt>
                <c:pt idx="217">
                  <c:v>0.17</c:v>
                </c:pt>
                <c:pt idx="218">
                  <c:v>0.18</c:v>
                </c:pt>
                <c:pt idx="219">
                  <c:v>0.19</c:v>
                </c:pt>
                <c:pt idx="220">
                  <c:v>0.2</c:v>
                </c:pt>
                <c:pt idx="221">
                  <c:v>0.21</c:v>
                </c:pt>
                <c:pt idx="222">
                  <c:v>0.22</c:v>
                </c:pt>
                <c:pt idx="223">
                  <c:v>0.23</c:v>
                </c:pt>
                <c:pt idx="224">
                  <c:v>0.24</c:v>
                </c:pt>
                <c:pt idx="225">
                  <c:v>0.25</c:v>
                </c:pt>
                <c:pt idx="226">
                  <c:v>0.26</c:v>
                </c:pt>
                <c:pt idx="227">
                  <c:v>0.27</c:v>
                </c:pt>
                <c:pt idx="228">
                  <c:v>0.28000000000000003</c:v>
                </c:pt>
                <c:pt idx="229">
                  <c:v>0.28999999999999998</c:v>
                </c:pt>
                <c:pt idx="230">
                  <c:v>0.3</c:v>
                </c:pt>
                <c:pt idx="231">
                  <c:v>0.31</c:v>
                </c:pt>
                <c:pt idx="232">
                  <c:v>0.32</c:v>
                </c:pt>
                <c:pt idx="233">
                  <c:v>0.33</c:v>
                </c:pt>
                <c:pt idx="234">
                  <c:v>0.34</c:v>
                </c:pt>
                <c:pt idx="235">
                  <c:v>0.35</c:v>
                </c:pt>
                <c:pt idx="236">
                  <c:v>0.36</c:v>
                </c:pt>
                <c:pt idx="237">
                  <c:v>0.37</c:v>
                </c:pt>
                <c:pt idx="238">
                  <c:v>0.38</c:v>
                </c:pt>
                <c:pt idx="239">
                  <c:v>0.39</c:v>
                </c:pt>
                <c:pt idx="240">
                  <c:v>0.4</c:v>
                </c:pt>
                <c:pt idx="241">
                  <c:v>0.41</c:v>
                </c:pt>
                <c:pt idx="242">
                  <c:v>0.42</c:v>
                </c:pt>
                <c:pt idx="243">
                  <c:v>0.43</c:v>
                </c:pt>
                <c:pt idx="244">
                  <c:v>0.44</c:v>
                </c:pt>
                <c:pt idx="245">
                  <c:v>0.45</c:v>
                </c:pt>
                <c:pt idx="246">
                  <c:v>0.46</c:v>
                </c:pt>
                <c:pt idx="247">
                  <c:v>0.47</c:v>
                </c:pt>
                <c:pt idx="248">
                  <c:v>0.48</c:v>
                </c:pt>
                <c:pt idx="249">
                  <c:v>0.49</c:v>
                </c:pt>
                <c:pt idx="250">
                  <c:v>0.5</c:v>
                </c:pt>
                <c:pt idx="251">
                  <c:v>0.51</c:v>
                </c:pt>
                <c:pt idx="252">
                  <c:v>0.52</c:v>
                </c:pt>
                <c:pt idx="253">
                  <c:v>0.53</c:v>
                </c:pt>
                <c:pt idx="254">
                  <c:v>0.54</c:v>
                </c:pt>
                <c:pt idx="255">
                  <c:v>0.55000000000000004</c:v>
                </c:pt>
                <c:pt idx="256">
                  <c:v>0.56000000000000005</c:v>
                </c:pt>
                <c:pt idx="257">
                  <c:v>0.56999999999999995</c:v>
                </c:pt>
                <c:pt idx="258">
                  <c:v>0.57999999999999996</c:v>
                </c:pt>
                <c:pt idx="259">
                  <c:v>0.59</c:v>
                </c:pt>
                <c:pt idx="260">
                  <c:v>0.6</c:v>
                </c:pt>
                <c:pt idx="261">
                  <c:v>0.61</c:v>
                </c:pt>
                <c:pt idx="262">
                  <c:v>0.62</c:v>
                </c:pt>
                <c:pt idx="263">
                  <c:v>0.63</c:v>
                </c:pt>
                <c:pt idx="264">
                  <c:v>0.64</c:v>
                </c:pt>
                <c:pt idx="265">
                  <c:v>0.65</c:v>
                </c:pt>
                <c:pt idx="266">
                  <c:v>0.66</c:v>
                </c:pt>
                <c:pt idx="267">
                  <c:v>0.67</c:v>
                </c:pt>
                <c:pt idx="268">
                  <c:v>0.68</c:v>
                </c:pt>
                <c:pt idx="269">
                  <c:v>0.69</c:v>
                </c:pt>
                <c:pt idx="270">
                  <c:v>0.7</c:v>
                </c:pt>
                <c:pt idx="271">
                  <c:v>0.71</c:v>
                </c:pt>
                <c:pt idx="272">
                  <c:v>0.72</c:v>
                </c:pt>
                <c:pt idx="273">
                  <c:v>0.73</c:v>
                </c:pt>
                <c:pt idx="274">
                  <c:v>0.74</c:v>
                </c:pt>
                <c:pt idx="275">
                  <c:v>0.75</c:v>
                </c:pt>
                <c:pt idx="276">
                  <c:v>0.76</c:v>
                </c:pt>
                <c:pt idx="277">
                  <c:v>0.77</c:v>
                </c:pt>
                <c:pt idx="278">
                  <c:v>0.78</c:v>
                </c:pt>
                <c:pt idx="279">
                  <c:v>0.79</c:v>
                </c:pt>
                <c:pt idx="280">
                  <c:v>0.8</c:v>
                </c:pt>
                <c:pt idx="281">
                  <c:v>0.81</c:v>
                </c:pt>
                <c:pt idx="282">
                  <c:v>0.82</c:v>
                </c:pt>
                <c:pt idx="283">
                  <c:v>0.83</c:v>
                </c:pt>
                <c:pt idx="284">
                  <c:v>0.84</c:v>
                </c:pt>
                <c:pt idx="285">
                  <c:v>0.85</c:v>
                </c:pt>
                <c:pt idx="286">
                  <c:v>0.86</c:v>
                </c:pt>
                <c:pt idx="287">
                  <c:v>0.87</c:v>
                </c:pt>
                <c:pt idx="288">
                  <c:v>0.88</c:v>
                </c:pt>
                <c:pt idx="289">
                  <c:v>0.89</c:v>
                </c:pt>
                <c:pt idx="290">
                  <c:v>0.9</c:v>
                </c:pt>
                <c:pt idx="291">
                  <c:v>0.91</c:v>
                </c:pt>
                <c:pt idx="292">
                  <c:v>0.92</c:v>
                </c:pt>
                <c:pt idx="293">
                  <c:v>0.93</c:v>
                </c:pt>
                <c:pt idx="294">
                  <c:v>0.94</c:v>
                </c:pt>
                <c:pt idx="295">
                  <c:v>0.95</c:v>
                </c:pt>
                <c:pt idx="296">
                  <c:v>0.96</c:v>
                </c:pt>
                <c:pt idx="297">
                  <c:v>0.97</c:v>
                </c:pt>
                <c:pt idx="298">
                  <c:v>0.98</c:v>
                </c:pt>
                <c:pt idx="299">
                  <c:v>0.99</c:v>
                </c:pt>
                <c:pt idx="300">
                  <c:v>1</c:v>
                </c:pt>
                <c:pt idx="301">
                  <c:v>1.01</c:v>
                </c:pt>
                <c:pt idx="302">
                  <c:v>1.02</c:v>
                </c:pt>
                <c:pt idx="303">
                  <c:v>1.03</c:v>
                </c:pt>
                <c:pt idx="304">
                  <c:v>1.04</c:v>
                </c:pt>
                <c:pt idx="305">
                  <c:v>1.05</c:v>
                </c:pt>
                <c:pt idx="306">
                  <c:v>1.06</c:v>
                </c:pt>
                <c:pt idx="307">
                  <c:v>1.07</c:v>
                </c:pt>
                <c:pt idx="308">
                  <c:v>1.08</c:v>
                </c:pt>
                <c:pt idx="309">
                  <c:v>1.0900000000000001</c:v>
                </c:pt>
                <c:pt idx="310">
                  <c:v>1.1000000000000001</c:v>
                </c:pt>
                <c:pt idx="311">
                  <c:v>1.1100000000000001</c:v>
                </c:pt>
                <c:pt idx="312">
                  <c:v>1.1200000000000001</c:v>
                </c:pt>
                <c:pt idx="313">
                  <c:v>1.1299999999999999</c:v>
                </c:pt>
                <c:pt idx="314">
                  <c:v>1.1399999999999999</c:v>
                </c:pt>
                <c:pt idx="315">
                  <c:v>1.1499999999999999</c:v>
                </c:pt>
                <c:pt idx="316">
                  <c:v>1.1599999999999999</c:v>
                </c:pt>
                <c:pt idx="317">
                  <c:v>1.17</c:v>
                </c:pt>
                <c:pt idx="318">
                  <c:v>1.18</c:v>
                </c:pt>
                <c:pt idx="319">
                  <c:v>1.19</c:v>
                </c:pt>
                <c:pt idx="320">
                  <c:v>1.2</c:v>
                </c:pt>
                <c:pt idx="321">
                  <c:v>1.21</c:v>
                </c:pt>
                <c:pt idx="322">
                  <c:v>1.22</c:v>
                </c:pt>
                <c:pt idx="323">
                  <c:v>1.23</c:v>
                </c:pt>
                <c:pt idx="324">
                  <c:v>1.24</c:v>
                </c:pt>
                <c:pt idx="325">
                  <c:v>1.25</c:v>
                </c:pt>
                <c:pt idx="326">
                  <c:v>1.26</c:v>
                </c:pt>
                <c:pt idx="327">
                  <c:v>1.27</c:v>
                </c:pt>
                <c:pt idx="328">
                  <c:v>1.28</c:v>
                </c:pt>
                <c:pt idx="329">
                  <c:v>1.29</c:v>
                </c:pt>
                <c:pt idx="330">
                  <c:v>1.3</c:v>
                </c:pt>
                <c:pt idx="331">
                  <c:v>1.31</c:v>
                </c:pt>
                <c:pt idx="332">
                  <c:v>1.32</c:v>
                </c:pt>
                <c:pt idx="333">
                  <c:v>1.33</c:v>
                </c:pt>
                <c:pt idx="334">
                  <c:v>1.34</c:v>
                </c:pt>
                <c:pt idx="335">
                  <c:v>1.35</c:v>
                </c:pt>
                <c:pt idx="336">
                  <c:v>1.36</c:v>
                </c:pt>
                <c:pt idx="337">
                  <c:v>1.37</c:v>
                </c:pt>
                <c:pt idx="338">
                  <c:v>1.38</c:v>
                </c:pt>
                <c:pt idx="339">
                  <c:v>1.39</c:v>
                </c:pt>
                <c:pt idx="340">
                  <c:v>1.4</c:v>
                </c:pt>
                <c:pt idx="341">
                  <c:v>1.41</c:v>
                </c:pt>
                <c:pt idx="342">
                  <c:v>1.42</c:v>
                </c:pt>
                <c:pt idx="343">
                  <c:v>1.43</c:v>
                </c:pt>
                <c:pt idx="344">
                  <c:v>1.44</c:v>
                </c:pt>
                <c:pt idx="345">
                  <c:v>1.45</c:v>
                </c:pt>
                <c:pt idx="346">
                  <c:v>1.46</c:v>
                </c:pt>
                <c:pt idx="347">
                  <c:v>1.47</c:v>
                </c:pt>
                <c:pt idx="348">
                  <c:v>1.48</c:v>
                </c:pt>
                <c:pt idx="349">
                  <c:v>1.49</c:v>
                </c:pt>
                <c:pt idx="350">
                  <c:v>1.5</c:v>
                </c:pt>
                <c:pt idx="351">
                  <c:v>1.51</c:v>
                </c:pt>
                <c:pt idx="352">
                  <c:v>1.52</c:v>
                </c:pt>
                <c:pt idx="353">
                  <c:v>1.53</c:v>
                </c:pt>
                <c:pt idx="354">
                  <c:v>1.54</c:v>
                </c:pt>
                <c:pt idx="355">
                  <c:v>1.55</c:v>
                </c:pt>
                <c:pt idx="356">
                  <c:v>1.56</c:v>
                </c:pt>
                <c:pt idx="357">
                  <c:v>1.57</c:v>
                </c:pt>
                <c:pt idx="358">
                  <c:v>1.58</c:v>
                </c:pt>
                <c:pt idx="359">
                  <c:v>1.59</c:v>
                </c:pt>
                <c:pt idx="360">
                  <c:v>1.6</c:v>
                </c:pt>
                <c:pt idx="361">
                  <c:v>1.61</c:v>
                </c:pt>
                <c:pt idx="362">
                  <c:v>1.62</c:v>
                </c:pt>
                <c:pt idx="363">
                  <c:v>1.63</c:v>
                </c:pt>
                <c:pt idx="364">
                  <c:v>1.64</c:v>
                </c:pt>
                <c:pt idx="365">
                  <c:v>1.65</c:v>
                </c:pt>
                <c:pt idx="366">
                  <c:v>1.66</c:v>
                </c:pt>
                <c:pt idx="367">
                  <c:v>1.67</c:v>
                </c:pt>
                <c:pt idx="368">
                  <c:v>1.68</c:v>
                </c:pt>
                <c:pt idx="369">
                  <c:v>1.69</c:v>
                </c:pt>
                <c:pt idx="370">
                  <c:v>1.7</c:v>
                </c:pt>
                <c:pt idx="371">
                  <c:v>1.71</c:v>
                </c:pt>
                <c:pt idx="372">
                  <c:v>1.72</c:v>
                </c:pt>
                <c:pt idx="373">
                  <c:v>1.73</c:v>
                </c:pt>
                <c:pt idx="374">
                  <c:v>1.74</c:v>
                </c:pt>
                <c:pt idx="375">
                  <c:v>1.75</c:v>
                </c:pt>
                <c:pt idx="376">
                  <c:v>1.76</c:v>
                </c:pt>
                <c:pt idx="377">
                  <c:v>1.77</c:v>
                </c:pt>
                <c:pt idx="378">
                  <c:v>1.78</c:v>
                </c:pt>
                <c:pt idx="379">
                  <c:v>1.79</c:v>
                </c:pt>
                <c:pt idx="380">
                  <c:v>1.8</c:v>
                </c:pt>
                <c:pt idx="381">
                  <c:v>1.81</c:v>
                </c:pt>
                <c:pt idx="382">
                  <c:v>1.82</c:v>
                </c:pt>
                <c:pt idx="383">
                  <c:v>1.83</c:v>
                </c:pt>
                <c:pt idx="384">
                  <c:v>1.84</c:v>
                </c:pt>
                <c:pt idx="385">
                  <c:v>1.85</c:v>
                </c:pt>
                <c:pt idx="386">
                  <c:v>1.86</c:v>
                </c:pt>
                <c:pt idx="387">
                  <c:v>1.87</c:v>
                </c:pt>
                <c:pt idx="388">
                  <c:v>1.88</c:v>
                </c:pt>
                <c:pt idx="389">
                  <c:v>1.89</c:v>
                </c:pt>
                <c:pt idx="390">
                  <c:v>1.9</c:v>
                </c:pt>
                <c:pt idx="391">
                  <c:v>1.91</c:v>
                </c:pt>
                <c:pt idx="392">
                  <c:v>1.92</c:v>
                </c:pt>
                <c:pt idx="393">
                  <c:v>1.93</c:v>
                </c:pt>
                <c:pt idx="394">
                  <c:v>1.94</c:v>
                </c:pt>
                <c:pt idx="395">
                  <c:v>1.95</c:v>
                </c:pt>
                <c:pt idx="396">
                  <c:v>1.96</c:v>
                </c:pt>
                <c:pt idx="397">
                  <c:v>1.97</c:v>
                </c:pt>
                <c:pt idx="398">
                  <c:v>1.98</c:v>
                </c:pt>
                <c:pt idx="399">
                  <c:v>1.99</c:v>
                </c:pt>
                <c:pt idx="400">
                  <c:v>2</c:v>
                </c:pt>
              </c:numCache>
            </c:numRef>
          </c:xVal>
          <c:yVal>
            <c:numRef>
              <c:f>'Problem 6'!$C$13:$C$413</c:f>
              <c:numCache>
                <c:formatCode>General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2.0000333334999586E-2</c:v>
                </c:pt>
                <c:pt idx="202">
                  <c:v>4.000266672000051E-2</c:v>
                </c:pt>
                <c:pt idx="203">
                  <c:v>6.0009000405008284E-2</c:v>
                </c:pt>
                <c:pt idx="204">
                  <c:v>8.0021335040065006E-2</c:v>
                </c:pt>
                <c:pt idx="205">
                  <c:v>0.10004167187530963</c:v>
                </c:pt>
                <c:pt idx="206">
                  <c:v>0.12007201296111111</c:v>
                </c:pt>
                <c:pt idx="207">
                  <c:v>0.14011436134826785</c:v>
                </c:pt>
                <c:pt idx="208">
                  <c:v>0.16017072128832296</c:v>
                </c:pt>
                <c:pt idx="209">
                  <c:v>0.18024309843398195</c:v>
                </c:pt>
                <c:pt idx="210">
                  <c:v>0.20033350003968806</c:v>
                </c:pt>
                <c:pt idx="211">
                  <c:v>0.22044393516234306</c:v>
                </c:pt>
                <c:pt idx="212">
                  <c:v>0.24057641486221815</c:v>
                </c:pt>
                <c:pt idx="213">
                  <c:v>0.26073295240406047</c:v>
                </c:pt>
                <c:pt idx="214">
                  <c:v>0.2809155634584215</c:v>
                </c:pt>
                <c:pt idx="215">
                  <c:v>0.30112626630322531</c:v>
                </c:pt>
                <c:pt idx="216">
                  <c:v>0.32136708202559894</c:v>
                </c:pt>
                <c:pt idx="217">
                  <c:v>0.34164003472398186</c:v>
                </c:pt>
                <c:pt idx="218">
                  <c:v>0.36194715171053815</c:v>
                </c:pt>
                <c:pt idx="219">
                  <c:v>0.38229046371388914</c:v>
                </c:pt>
                <c:pt idx="220">
                  <c:v>0.40267200508218803</c:v>
                </c:pt>
                <c:pt idx="221">
                  <c:v>0.4230938139865561</c:v>
                </c:pt>
                <c:pt idx="222">
                  <c:v>0.44355793262490228</c:v>
                </c:pt>
                <c:pt idx="223">
                  <c:v>0.46406640742614386</c:v>
                </c:pt>
                <c:pt idx="224">
                  <c:v>0.48462128925485126</c:v>
                </c:pt>
                <c:pt idx="225">
                  <c:v>0.50522463361633663</c:v>
                </c:pt>
                <c:pt idx="226">
                  <c:v>0.52587850086220556</c:v>
                </c:pt>
                <c:pt idx="227">
                  <c:v>0.54658495639639415</c:v>
                </c:pt>
                <c:pt idx="228">
                  <c:v>0.56734607088171152</c:v>
                </c:pt>
                <c:pt idx="229">
                  <c:v>0.58816392044690691</c:v>
                </c:pt>
                <c:pt idx="230">
                  <c:v>0.6090405868942852</c:v>
                </c:pt>
                <c:pt idx="231">
                  <c:v>0.62997815790788847</c:v>
                </c:pt>
                <c:pt idx="232">
                  <c:v>0.65097872726226624</c:v>
                </c:pt>
                <c:pt idx="233">
                  <c:v>0.6720443950318542</c:v>
                </c:pt>
                <c:pt idx="234">
                  <c:v>0.69317726780098421</c:v>
                </c:pt>
                <c:pt idx="235">
                  <c:v>0.71437945887454379</c:v>
                </c:pt>
                <c:pt idx="236">
                  <c:v>0.7356530884893091</c:v>
                </c:pt>
                <c:pt idx="237">
                  <c:v>0.75700028402596975</c:v>
                </c:pt>
                <c:pt idx="238">
                  <c:v>0.77842318022186863</c:v>
                </c:pt>
                <c:pt idx="239">
                  <c:v>0.79992391938447804</c:v>
                </c:pt>
                <c:pt idx="240">
                  <c:v>0.82150465160563102</c:v>
                </c:pt>
                <c:pt idx="241">
                  <c:v>0.84316753497653418</c:v>
                </c:pt>
                <c:pt idx="242">
                  <c:v>0.86491473580357692</c:v>
                </c:pt>
                <c:pt idx="243">
                  <c:v>0.88674842882496496</c:v>
                </c:pt>
                <c:pt idx="244">
                  <c:v>0.90867079742819468</c:v>
                </c:pt>
                <c:pt idx="245">
                  <c:v>0.9306840338683956</c:v>
                </c:pt>
                <c:pt idx="246">
                  <c:v>0.95279033948755587</c:v>
                </c:pt>
                <c:pt idx="247">
                  <c:v>0.97499192493465925</c:v>
                </c:pt>
                <c:pt idx="248">
                  <c:v>0.9972910103867525</c:v>
                </c:pt>
                <c:pt idx="249">
                  <c:v>1.0196898257709628</c:v>
                </c:pt>
                <c:pt idx="250">
                  <c:v>1.0421906109874948</c:v>
                </c:pt>
                <c:pt idx="251">
                  <c:v>1.0647956161336205</c:v>
                </c:pt>
                <c:pt idx="252">
                  <c:v>1.0875071017286921</c:v>
                </c:pt>
                <c:pt idx="253">
                  <c:v>1.1103273389401955</c:v>
                </c:pt>
                <c:pt idx="254">
                  <c:v>1.133258609810869</c:v>
                </c:pt>
                <c:pt idx="255">
                  <c:v>1.1563032074869086</c:v>
                </c:pt>
                <c:pt idx="256">
                  <c:v>1.1794634364472865</c:v>
                </c:pt>
                <c:pt idx="257">
                  <c:v>1.2027416127341979</c:v>
                </c:pt>
                <c:pt idx="258">
                  <c:v>1.2261400641846714</c:v>
                </c:pt>
                <c:pt idx="259">
                  <c:v>1.2496611306633498</c:v>
                </c:pt>
                <c:pt idx="260">
                  <c:v>1.2733071642964824</c:v>
                </c:pt>
                <c:pt idx="261">
                  <c:v>1.2970805297071375</c:v>
                </c:pt>
                <c:pt idx="262">
                  <c:v>1.3209836042516676</c:v>
                </c:pt>
                <c:pt idx="263">
                  <c:v>1.3450187782574459</c:v>
                </c:pt>
                <c:pt idx="264">
                  <c:v>1.3691884552619029</c:v>
                </c:pt>
                <c:pt idx="265">
                  <c:v>1.3934950522528804</c:v>
                </c:pt>
                <c:pt idx="266">
                  <c:v>1.4179409999103325</c:v>
                </c:pt>
                <c:pt idx="267">
                  <c:v>1.4425287428493971</c:v>
                </c:pt>
                <c:pt idx="268">
                  <c:v>1.4672607398648581</c:v>
                </c:pt>
                <c:pt idx="269">
                  <c:v>1.4921394641770267</c:v>
                </c:pt>
                <c:pt idx="270">
                  <c:v>1.5171674036790672</c:v>
                </c:pt>
                <c:pt idx="271">
                  <c:v>1.5423470611857855</c:v>
                </c:pt>
                <c:pt idx="272">
                  <c:v>1.5676809546839159</c:v>
                </c:pt>
                <c:pt idx="273">
                  <c:v>1.5931716175839201</c:v>
                </c:pt>
                <c:pt idx="274">
                  <c:v>1.6188215989733301</c:v>
                </c:pt>
                <c:pt idx="275">
                  <c:v>1.64463346387166</c:v>
                </c:pt>
                <c:pt idx="276">
                  <c:v>1.6706097934869093</c:v>
                </c:pt>
                <c:pt idx="277">
                  <c:v>1.696753185473687</c:v>
                </c:pt>
                <c:pt idx="278">
                  <c:v>1.7230662541929775</c:v>
                </c:pt>
                <c:pt idx="279">
                  <c:v>1.7495516309735808</c:v>
                </c:pt>
                <c:pt idx="280">
                  <c:v>1.7762119643752461</c:v>
                </c:pt>
                <c:pt idx="281">
                  <c:v>1.8030499204535306</c:v>
                </c:pt>
                <c:pt idx="282">
                  <c:v>1.8300681830264063</c:v>
                </c:pt>
                <c:pt idx="283">
                  <c:v>1.8572694539426471</c:v>
                </c:pt>
                <c:pt idx="284">
                  <c:v>1.884656453352012</c:v>
                </c:pt>
                <c:pt idx="285">
                  <c:v>1.9122319199772642</c:v>
                </c:pt>
                <c:pt idx="286">
                  <c:v>1.9399986113880461</c:v>
                </c:pt>
                <c:pt idx="287">
                  <c:v>1.9679593042766375</c:v>
                </c:pt>
                <c:pt idx="288">
                  <c:v>1.9961167947356282</c:v>
                </c:pt>
                <c:pt idx="289">
                  <c:v>2.0244738985375292</c:v>
                </c:pt>
                <c:pt idx="290">
                  <c:v>2.0530334514163511</c:v>
                </c:pt>
                <c:pt idx="291">
                  <c:v>2.0817983093511807</c:v>
                </c:pt>
                <c:pt idx="292">
                  <c:v>2.1107713488517836</c:v>
                </c:pt>
                <c:pt idx="293">
                  <c:v>2.1399554672462537</c:v>
                </c:pt>
                <c:pt idx="294">
                  <c:v>2.16935358297075</c:v>
                </c:pt>
                <c:pt idx="295">
                  <c:v>2.1989686358613447</c:v>
                </c:pt>
                <c:pt idx="296">
                  <c:v>2.2288035874480054</c:v>
                </c:pt>
                <c:pt idx="297">
                  <c:v>2.2588614212507538</c:v>
                </c:pt>
                <c:pt idx="298">
                  <c:v>2.2891451430780174</c:v>
                </c:pt>
                <c:pt idx="299">
                  <c:v>2.3196577813272166</c:v>
                </c:pt>
                <c:pt idx="300">
                  <c:v>2.3504023872876028</c:v>
                </c:pt>
                <c:pt idx="301">
                  <c:v>2.3813820354453932</c:v>
                </c:pt>
                <c:pt idx="302">
                  <c:v>2.4125998237912194</c:v>
                </c:pt>
                <c:pt idx="303">
                  <c:v>2.4440588741299316</c:v>
                </c:pt>
                <c:pt idx="304">
                  <c:v>2.4757623323927795</c:v>
                </c:pt>
                <c:pt idx="305">
                  <c:v>2.5077133689520084</c:v>
                </c:pt>
                <c:pt idx="306">
                  <c:v>2.5399151789379011</c:v>
                </c:pt>
                <c:pt idx="307">
                  <c:v>2.5723709825582901</c:v>
                </c:pt>
                <c:pt idx="308">
                  <c:v>2.6050840254205849</c:v>
                </c:pt>
                <c:pt idx="309">
                  <c:v>2.6380575788563325</c:v>
                </c:pt>
                <c:pt idx="310">
                  <c:v>2.6712949402483539</c:v>
                </c:pt>
                <c:pt idx="311">
                  <c:v>2.7047994333604866</c:v>
                </c:pt>
                <c:pt idx="312">
                  <c:v>2.738574408669963</c:v>
                </c:pt>
                <c:pt idx="313">
                  <c:v>2.7726232437024581</c:v>
                </c:pt>
                <c:pt idx="314">
                  <c:v>2.8069493433698511</c:v>
                </c:pt>
                <c:pt idx="315">
                  <c:v>2.8415561403107139</c:v>
                </c:pt>
                <c:pt idx="316">
                  <c:v>2.876447095233579</c:v>
                </c:pt>
                <c:pt idx="317">
                  <c:v>2.9116256972630143</c:v>
                </c:pt>
                <c:pt idx="318">
                  <c:v>2.9470954642885396</c:v>
                </c:pt>
                <c:pt idx="319">
                  <c:v>2.9828599433164138</c:v>
                </c:pt>
                <c:pt idx="320">
                  <c:v>3.018922710824345</c:v>
                </c:pt>
                <c:pt idx="321">
                  <c:v>3.0552873731191363</c:v>
                </c:pt>
                <c:pt idx="322">
                  <c:v>3.0919575666973205</c:v>
                </c:pt>
                <c:pt idx="323">
                  <c:v>3.128936958608814</c:v>
                </c:pt>
                <c:pt idx="324">
                  <c:v>3.1662292468236251</c:v>
                </c:pt>
                <c:pt idx="325">
                  <c:v>3.2038381606016513</c:v>
                </c:pt>
                <c:pt idx="326">
                  <c:v>3.2417674608656122</c:v>
                </c:pt>
                <c:pt idx="327">
                  <c:v>3.2800209405771406</c:v>
                </c:pt>
                <c:pt idx="328">
                  <c:v>3.3186024251160875</c:v>
                </c:pt>
                <c:pt idx="329">
                  <c:v>3.3575157726630569</c:v>
                </c:pt>
                <c:pt idx="330">
                  <c:v>3.3967648745852319</c:v>
                </c:pt>
                <c:pt idx="331">
                  <c:v>3.4363536558255121</c:v>
                </c:pt>
                <c:pt idx="332">
                  <c:v>3.4762860752950124</c:v>
                </c:pt>
                <c:pt idx="333">
                  <c:v>3.5165661262689571</c:v>
                </c:pt>
                <c:pt idx="334">
                  <c:v>3.5571978367860102</c:v>
                </c:pt>
                <c:pt idx="335">
                  <c:v>3.5981852700510828</c:v>
                </c:pt>
                <c:pt idx="336">
                  <c:v>3.639532524841659</c:v>
                </c:pt>
                <c:pt idx="337">
                  <c:v>3.6812437359176728</c:v>
                </c:pt>
                <c:pt idx="338">
                  <c:v>3.7233230744349912</c:v>
                </c:pt>
                <c:pt idx="339">
                  <c:v>3.7657747483625328</c:v>
                </c:pt>
                <c:pt idx="340">
                  <c:v>3.8086030029030682</c:v>
                </c:pt>
                <c:pt idx="341">
                  <c:v>3.8518121209177387</c:v>
                </c:pt>
                <c:pt idx="342">
                  <c:v>3.8954064233543555</c:v>
                </c:pt>
                <c:pt idx="343">
                  <c:v>3.9393902696794916</c:v>
                </c:pt>
                <c:pt idx="344">
                  <c:v>3.9837680583144306</c:v>
                </c:pt>
                <c:pt idx="345">
                  <c:v>4.0285442270750194</c:v>
                </c:pt>
                <c:pt idx="346">
                  <c:v>4.073723253615448</c:v>
                </c:pt>
                <c:pt idx="347">
                  <c:v>4.1193096558760178</c:v>
                </c:pt>
                <c:pt idx="348">
                  <c:v>4.1653079925349443</c:v>
                </c:pt>
                <c:pt idx="349">
                  <c:v>4.2117228634642254</c:v>
                </c:pt>
                <c:pt idx="350">
                  <c:v>4.2585589101896346</c:v>
                </c:pt>
                <c:pt idx="351">
                  <c:v>4.3058208163548741</c:v>
                </c:pt>
                <c:pt idx="352">
                  <c:v>4.3535133081899442</c:v>
                </c:pt>
                <c:pt idx="353">
                  <c:v>4.401641154983774</c:v>
                </c:pt>
                <c:pt idx="354">
                  <c:v>4.4502091695611474</c:v>
                </c:pt>
                <c:pt idx="355">
                  <c:v>4.4992222087639986</c:v>
                </c:pt>
                <c:pt idx="356">
                  <c:v>4.5486851739370895</c:v>
                </c:pt>
                <c:pt idx="357">
                  <c:v>4.5986030114181577</c:v>
                </c:pt>
                <c:pt idx="358">
                  <c:v>4.6489807130325502</c:v>
                </c:pt>
                <c:pt idx="359">
                  <c:v>4.6998233165924095</c:v>
                </c:pt>
                <c:pt idx="360">
                  <c:v>4.7511359064004592</c:v>
                </c:pt>
                <c:pt idx="361">
                  <c:v>4.802923613758443</c:v>
                </c:pt>
                <c:pt idx="362">
                  <c:v>4.8551916174802532</c:v>
                </c:pt>
                <c:pt idx="363">
                  <c:v>4.9079451444098163</c:v>
                </c:pt>
                <c:pt idx="364">
                  <c:v>4.9611894699437888</c:v>
                </c:pt>
                <c:pt idx="365">
                  <c:v>5.0149299185590941</c:v>
                </c:pt>
                <c:pt idx="366">
                  <c:v>5.0691718643453774</c:v>
                </c:pt>
                <c:pt idx="367">
                  <c:v>5.1239207315424204</c:v>
                </c:pt>
                <c:pt idx="368">
                  <c:v>5.1791819950825646</c:v>
                </c:pt>
                <c:pt idx="369">
                  <c:v>5.2349611811382166</c:v>
                </c:pt>
                <c:pt idx="370">
                  <c:v>5.2912638676744654</c:v>
                </c:pt>
                <c:pt idx="371">
                  <c:v>5.3480956850068821</c:v>
                </c:pt>
                <c:pt idx="372">
                  <c:v>5.4054623163645603</c:v>
                </c:pt>
                <c:pt idx="373">
                  <c:v>5.4633694984584427</c:v>
                </c:pt>
                <c:pt idx="374">
                  <c:v>5.5218230220549938</c:v>
                </c:pt>
                <c:pt idx="375">
                  <c:v>5.5808287325552852</c:v>
                </c:pt>
                <c:pt idx="376">
                  <c:v>5.6403925305795379</c:v>
                </c:pt>
                <c:pt idx="377">
                  <c:v>5.7005203725571922</c:v>
                </c:pt>
                <c:pt idx="378">
                  <c:v>5.7612182713225506</c:v>
                </c:pt>
                <c:pt idx="379">
                  <c:v>5.8224922967160726</c:v>
                </c:pt>
                <c:pt idx="380">
                  <c:v>5.8843485761913596</c:v>
                </c:pt>
                <c:pt idx="381">
                  <c:v>5.9467932954279057</c:v>
                </c:pt>
                <c:pt idx="382">
                  <c:v>6.0098326989496726</c:v>
                </c:pt>
                <c:pt idx="383">
                  <c:v>6.0734730907495447</c:v>
                </c:pt>
                <c:pt idx="384">
                  <c:v>6.1377208349197367</c:v>
                </c:pt>
                <c:pt idx="385">
                  <c:v>6.2025823562882039</c:v>
                </c:pt>
                <c:pt idx="386">
                  <c:v>6.2680641410611377</c:v>
                </c:pt>
                <c:pt idx="387">
                  <c:v>6.3341727374715804</c:v>
                </c:pt>
                <c:pt idx="388">
                  <c:v>6.4009147564342639</c:v>
                </c:pt>
                <c:pt idx="389">
                  <c:v>6.4682968722067056</c:v>
                </c:pt>
                <c:pt idx="390">
                  <c:v>6.5363258230566332</c:v>
                </c:pt>
                <c:pt idx="391">
                  <c:v>6.6050084119358239</c:v>
                </c:pt>
                <c:pt idx="392">
                  <c:v>6.6743515071603996</c:v>
                </c:pt>
                <c:pt idx="393">
                  <c:v>6.7443620430976683</c:v>
                </c:pt>
                <c:pt idx="394">
                  <c:v>6.815047020859569</c:v>
                </c:pt>
                <c:pt idx="395">
                  <c:v>6.8864135090027796</c:v>
                </c:pt>
                <c:pt idx="396">
                  <c:v>6.9584686442355874</c:v>
                </c:pt>
                <c:pt idx="397">
                  <c:v>7.0312196321315623</c:v>
                </c:pt>
                <c:pt idx="398">
                  <c:v>7.1046737478501196</c:v>
                </c:pt>
                <c:pt idx="399">
                  <c:v>7.1788383368640432</c:v>
                </c:pt>
                <c:pt idx="400">
                  <c:v>7.253720815694038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35-40A0-9F3D-13489175FC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856304"/>
        <c:axId val="162076848"/>
      </c:scatterChart>
      <c:valAx>
        <c:axId val="428856304"/>
        <c:scaling>
          <c:orientation val="minMax"/>
          <c:max val="2"/>
          <c:min val="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076848"/>
        <c:crosses val="autoZero"/>
        <c:crossBetween val="midCat"/>
      </c:valAx>
      <c:valAx>
        <c:axId val="16207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Reaction(P)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856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47627</xdr:rowOff>
    </xdr:from>
    <xdr:to>
      <xdr:col>6</xdr:col>
      <xdr:colOff>476250</xdr:colOff>
      <xdr:row>3</xdr:row>
      <xdr:rowOff>152401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06A3B6F-0020-4DDF-8AEA-C82B63ED3E86}"/>
            </a:ext>
          </a:extLst>
        </xdr:cNvPr>
        <xdr:cNvSpPr txBox="1"/>
      </xdr:nvSpPr>
      <xdr:spPr>
        <a:xfrm>
          <a:off x="38100" y="314327"/>
          <a:ext cx="5467350" cy="5048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Repeat problem 2 (repeated</a:t>
          </a:r>
          <a:r>
            <a:rPr lang="en-US" sz="1200" baseline="0"/>
            <a:t> below for convenience)</a:t>
          </a:r>
          <a:r>
            <a:rPr lang="en-US" sz="1200"/>
            <a:t>.</a:t>
          </a:r>
          <a:r>
            <a:rPr lang="en-US" sz="1200" baseline="0"/>
            <a:t> This time using Euler's method here in Excel. Make sure your sheet and plot are well-formatted and labeled. </a:t>
          </a:r>
          <a:endParaRPr lang="en-US" sz="1200"/>
        </a:p>
      </xdr:txBody>
    </xdr:sp>
    <xdr:clientData/>
  </xdr:twoCellAnchor>
  <xdr:twoCellAnchor editAs="oneCell">
    <xdr:from>
      <xdr:col>0</xdr:col>
      <xdr:colOff>0</xdr:colOff>
      <xdr:row>4</xdr:row>
      <xdr:rowOff>1</xdr:rowOff>
    </xdr:from>
    <xdr:to>
      <xdr:col>6</xdr:col>
      <xdr:colOff>210206</xdr:colOff>
      <xdr:row>19</xdr:row>
      <xdr:rowOff>81590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C34585-2707-4282-B25F-C088BFD8F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860535"/>
          <a:ext cx="5255172" cy="3037624"/>
        </a:xfrm>
        <a:prstGeom prst="rect">
          <a:avLst/>
        </a:prstGeom>
      </xdr:spPr>
    </xdr:pic>
    <xdr:clientData/>
  </xdr:twoCellAnchor>
  <xdr:twoCellAnchor>
    <xdr:from>
      <xdr:col>7</xdr:col>
      <xdr:colOff>642937</xdr:colOff>
      <xdr:row>21</xdr:row>
      <xdr:rowOff>0</xdr:rowOff>
    </xdr:from>
    <xdr:to>
      <xdr:col>13</xdr:col>
      <xdr:colOff>185737</xdr:colOff>
      <xdr:row>34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633D26-56B9-4615-99FB-9F46C2EF6B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3</xdr:row>
      <xdr:rowOff>161925</xdr:rowOff>
    </xdr:from>
    <xdr:to>
      <xdr:col>3</xdr:col>
      <xdr:colOff>76201</xdr:colOff>
      <xdr:row>6</xdr:row>
      <xdr:rowOff>142875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1E958130-A38C-41CA-987E-C7B7C4A98B8E}"/>
                </a:ext>
              </a:extLst>
            </xdr:cNvPr>
            <xdr:cNvSpPr txBox="1"/>
          </xdr:nvSpPr>
          <xdr:spPr>
            <a:xfrm>
              <a:off x="76201" y="762000"/>
              <a:ext cx="2514600" cy="58102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0"/>
                <a:t>Reaction</a:t>
              </a:r>
              <a14:m>
                <m:oMath xmlns:m="http://schemas.openxmlformats.org/officeDocument/2006/math">
                  <m:d>
                    <m:dPr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𝑃</m:t>
                      </m:r>
                    </m:e>
                  </m:d>
                  <m:r>
                    <a:rPr lang="en-US" sz="1100" b="0" i="1">
                      <a:latin typeface="Cambria Math" panose="02040503050406030204" pitchFamily="18" charset="0"/>
                    </a:rPr>
                    <m:t>=</m:t>
                  </m:r>
                  <m:d>
                    <m:dPr>
                      <m:begChr m:val="{"/>
                      <m:endChr m:val=""/>
                      <m:ctrlPr>
                        <a:rPr lang="en-US" sz="1100" b="0" i="1">
                          <a:latin typeface="Cambria Math" panose="02040503050406030204" pitchFamily="18" charset="0"/>
                        </a:rPr>
                      </m:ctrlPr>
                    </m:dPr>
                    <m:e>
                      <m:m>
                        <m:mPr>
                          <m:mcs>
                            <m:mc>
                              <m:mcPr>
                                <m:count m:val="1"/>
                                <m:mcJc m:val="center"/>
                              </m:mcPr>
                            </m:mc>
                          </m:mcs>
                          <m:ctrlPr>
                            <a:rPr lang="en-US" sz="1100" b="0" i="1">
                              <a:latin typeface="Cambria Math" panose="02040503050406030204" pitchFamily="18" charset="0"/>
                            </a:rPr>
                          </m:ctrlPr>
                        </m:mPr>
                        <m:mr>
                          <m:e>
                            <m:r>
                              <m:rPr>
                                <m:brk m:alnAt="7"/>
                              </m:rPr>
                              <a:rPr lang="en-US" sz="1100" b="0" i="0">
                                <a:latin typeface="Cambria Math" panose="02040503050406030204" pitchFamily="18" charset="0"/>
                              </a:rPr>
                              <m:t>2</m:t>
                            </m:r>
                            <m:func>
                              <m:func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  <m:brk m:alnAt="7"/>
                                  </m:rPr>
                                  <a:rPr lang="en-US" sz="1100" b="0" i="0">
                                    <a:latin typeface="Cambria Math" panose="02040503050406030204" pitchFamily="18" charset="0"/>
                                  </a:rPr>
                                  <m:t>s</m:t>
                                </m:r>
                                <m:r>
                                  <m:rPr>
                                    <m:sty m:val="p"/>
                                  </m:rPr>
                                  <a:rPr lang="en-US" sz="1100" b="0" i="0">
                                    <a:latin typeface="Cambria Math" panose="02040503050406030204" pitchFamily="18" charset="0"/>
                                  </a:rPr>
                                  <m:t>inh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m:rPr>
                                        <m:brk m:alnAt="7"/>
                                      </m:rPr>
                                      <a:rPr lang="en-US" sz="1100" b="0" i="1">
                                        <a:latin typeface="Cambria Math" panose="02040503050406030204" pitchFamily="18" charset="0"/>
                                      </a:rPr>
                                      <m:t>𝑃</m:t>
                                    </m:r>
                                  </m:e>
                                </m:d>
                              </m:e>
                            </m:func>
                            <m:r>
                              <m:rPr>
                                <m:brk m:alnAt="7"/>
                              </m:rPr>
                              <a:rPr lang="en-US" sz="1100" b="0" i="0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0">
                                <a:latin typeface="Cambria Math" panose="02040503050406030204" pitchFamily="18" charset="0"/>
                              </a:rPr>
                              <m:t>  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latin typeface="Cambria Math" panose="02040503050406030204" pitchFamily="18" charset="0"/>
                              </a:rPr>
                              <m:t>if</m:t>
                            </m:r>
                            <m:r>
                              <m:rPr>
                                <m:brk m:alnAt="7"/>
                              </m:rPr>
                              <a:rPr lang="en-US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≥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e>
                        </m:mr>
                        <m:m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0                   </m:t>
                            </m:r>
                            <m:r>
                              <m:rPr>
                                <m:sty m:val="p"/>
                              </m:rPr>
                              <a:rPr lang="en-US" sz="1100" b="0" i="0">
                                <a:latin typeface="Cambria Math" panose="02040503050406030204" pitchFamily="18" charset="0"/>
                              </a:rPr>
                              <m:t>if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&lt;0</m:t>
                            </m:r>
                          </m:e>
                        </m:mr>
                      </m:m>
                    </m:e>
                  </m:d>
                </m:oMath>
              </a14:m>
              <a:r>
                <a:rPr lang="en-US" sz="1100"/>
                <a:t> 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1E958130-A38C-41CA-987E-C7B7C4A98B8E}"/>
                </a:ext>
              </a:extLst>
            </xdr:cNvPr>
            <xdr:cNvSpPr txBox="1"/>
          </xdr:nvSpPr>
          <xdr:spPr>
            <a:xfrm>
              <a:off x="76201" y="762000"/>
              <a:ext cx="2514600" cy="581025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0"/>
                <a:t>Reaction</a:t>
              </a:r>
              <a:r>
                <a:rPr lang="en-US" sz="1100" b="0" i="0">
                  <a:latin typeface="Cambria Math" panose="02040503050406030204" pitchFamily="18" charset="0"/>
                </a:rPr>
                <a:t>(𝑃)={■8(2 sinh⁡(𝑃)    if 𝑃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≥</a:t>
              </a:r>
              <a:r>
                <a:rPr lang="en-US" sz="1100" b="0" i="0">
                  <a:latin typeface="Cambria Math" panose="02040503050406030204" pitchFamily="18" charset="0"/>
                </a:rPr>
                <a:t>0@0                   if 𝑃&lt;0)┤</a:t>
              </a:r>
              <a:r>
                <a:rPr lang="en-US" sz="1100"/>
                <a:t> </a:t>
              </a:r>
            </a:p>
          </xdr:txBody>
        </xdr:sp>
      </mc:Fallback>
    </mc:AlternateContent>
    <xdr:clientData/>
  </xdr:twoCellAnchor>
  <xdr:twoCellAnchor>
    <xdr:from>
      <xdr:col>3</xdr:col>
      <xdr:colOff>690562</xdr:colOff>
      <xdr:row>10</xdr:row>
      <xdr:rowOff>104775</xdr:rowOff>
    </xdr:from>
    <xdr:to>
      <xdr:col>9</xdr:col>
      <xdr:colOff>233362</xdr:colOff>
      <xdr:row>24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4F046C1-5A6D-4C18-8CF3-6061809AF8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P192"/>
  <sheetViews>
    <sheetView tabSelected="1" zoomScaleNormal="100" workbookViewId="0">
      <selection activeCell="J18" sqref="J18"/>
    </sheetView>
  </sheetViews>
  <sheetFormatPr defaultColWidth="11" defaultRowHeight="15.75"/>
  <cols>
    <col min="7" max="7" width="10.875" style="2"/>
  </cols>
  <sheetData>
    <row r="1" spans="1:10" ht="21">
      <c r="A1" s="5" t="s">
        <v>0</v>
      </c>
      <c r="B1" s="1"/>
      <c r="C1" s="1"/>
      <c r="G1"/>
    </row>
    <row r="2" spans="1:10">
      <c r="B2" s="1"/>
      <c r="C2" s="1"/>
      <c r="G2"/>
    </row>
    <row r="3" spans="1:10">
      <c r="B3" s="1"/>
      <c r="C3" s="1"/>
      <c r="G3"/>
    </row>
    <row r="4" spans="1:10">
      <c r="B4" s="1"/>
      <c r="C4" s="1"/>
      <c r="G4"/>
    </row>
    <row r="5" spans="1:10">
      <c r="B5" s="1"/>
      <c r="C5" s="1"/>
      <c r="G5"/>
    </row>
    <row r="6" spans="1:10">
      <c r="B6" s="1"/>
      <c r="C6" s="1"/>
      <c r="G6"/>
    </row>
    <row r="7" spans="1:10">
      <c r="B7" s="1"/>
      <c r="C7" s="1"/>
      <c r="G7"/>
    </row>
    <row r="8" spans="1:10">
      <c r="B8" s="1"/>
      <c r="C8" s="1"/>
      <c r="G8"/>
    </row>
    <row r="9" spans="1:10">
      <c r="B9" s="1"/>
      <c r="C9" s="1"/>
      <c r="G9"/>
    </row>
    <row r="10" spans="1:10">
      <c r="B10" s="1"/>
      <c r="C10" s="1"/>
      <c r="G10"/>
      <c r="I10" s="1"/>
      <c r="J10" s="1"/>
    </row>
    <row r="11" spans="1:10">
      <c r="B11" s="1"/>
      <c r="C11" s="1"/>
      <c r="G11"/>
    </row>
    <row r="12" spans="1:10">
      <c r="B12" s="1"/>
      <c r="C12" s="1"/>
      <c r="G12"/>
    </row>
    <row r="13" spans="1:10">
      <c r="B13" s="1"/>
      <c r="C13" s="1"/>
      <c r="G13"/>
    </row>
    <row r="14" spans="1:10">
      <c r="B14" s="1"/>
      <c r="C14" s="1"/>
      <c r="G14"/>
    </row>
    <row r="15" spans="1:10">
      <c r="B15" s="1"/>
      <c r="C15" s="1"/>
      <c r="G15"/>
    </row>
    <row r="16" spans="1:10">
      <c r="B16" s="1"/>
      <c r="C16" s="1"/>
      <c r="G16"/>
    </row>
    <row r="17" spans="1:16">
      <c r="B17" s="1"/>
      <c r="C17" s="1"/>
      <c r="G17"/>
    </row>
    <row r="18" spans="1:16">
      <c r="B18" s="1"/>
      <c r="C18" s="1"/>
      <c r="G18"/>
    </row>
    <row r="19" spans="1:16">
      <c r="B19" s="1"/>
      <c r="C19" s="1"/>
      <c r="G19"/>
    </row>
    <row r="20" spans="1:16">
      <c r="B20" s="1"/>
      <c r="C20" s="1"/>
      <c r="G20"/>
    </row>
    <row r="21" spans="1:16">
      <c r="A21" s="9"/>
      <c r="B21" s="10"/>
      <c r="C21" s="10"/>
      <c r="D21" s="6"/>
      <c r="E21" s="6"/>
      <c r="F21" s="6"/>
      <c r="G21" s="6"/>
      <c r="H21" s="6"/>
      <c r="I21" s="6"/>
      <c r="J21" s="6"/>
      <c r="K21" s="6"/>
      <c r="L21" s="6"/>
    </row>
    <row r="22" spans="1:16">
      <c r="A22" s="9"/>
      <c r="B22" s="30" t="s">
        <v>7</v>
      </c>
      <c r="C22" s="31"/>
      <c r="D22" s="6"/>
      <c r="E22" s="21" t="s">
        <v>8</v>
      </c>
      <c r="F22" s="22"/>
      <c r="G22" s="23"/>
      <c r="H22" s="6"/>
      <c r="I22" s="6"/>
      <c r="J22" s="6"/>
      <c r="K22" s="6"/>
      <c r="L22" s="6"/>
      <c r="O22" s="21" t="s">
        <v>12</v>
      </c>
      <c r="P22" s="23"/>
    </row>
    <row r="23" spans="1:16" ht="18.75">
      <c r="A23" s="6"/>
      <c r="B23" s="15" t="s">
        <v>9</v>
      </c>
      <c r="C23" s="27">
        <v>0</v>
      </c>
      <c r="D23" s="11"/>
      <c r="E23" s="15" t="s">
        <v>15</v>
      </c>
      <c r="F23" s="24" t="s">
        <v>5</v>
      </c>
      <c r="G23" s="16" t="s">
        <v>6</v>
      </c>
      <c r="H23" s="6"/>
      <c r="I23" s="13"/>
      <c r="J23" s="13"/>
      <c r="K23" s="6"/>
      <c r="L23" s="6"/>
      <c r="O23" s="15" t="s">
        <v>13</v>
      </c>
      <c r="P23" s="18">
        <v>0</v>
      </c>
    </row>
    <row r="24" spans="1:16" ht="18.75">
      <c r="A24" s="6"/>
      <c r="B24" s="15" t="s">
        <v>10</v>
      </c>
      <c r="C24" s="18">
        <v>0</v>
      </c>
      <c r="D24" s="6"/>
      <c r="E24" s="17">
        <v>0</v>
      </c>
      <c r="F24" s="25">
        <f>y0</f>
        <v>0</v>
      </c>
      <c r="G24" s="18">
        <f>z0</f>
        <v>0</v>
      </c>
      <c r="H24" s="6"/>
      <c r="I24" s="6"/>
      <c r="J24" s="6"/>
      <c r="K24" s="6"/>
      <c r="L24" s="6"/>
      <c r="O24" s="32" t="s">
        <v>14</v>
      </c>
      <c r="P24" s="20">
        <v>2</v>
      </c>
    </row>
    <row r="25" spans="1:16">
      <c r="A25" s="6"/>
      <c r="B25" s="28" t="s">
        <v>11</v>
      </c>
      <c r="C25" s="29">
        <v>0.05</v>
      </c>
      <c r="D25" s="6"/>
      <c r="E25" s="17">
        <f>E24+Dt</f>
        <v>0.05</v>
      </c>
      <c r="F25" s="25">
        <f>$F24+Dt*(10-2*$F24-5*$G24)</f>
        <v>0.5</v>
      </c>
      <c r="G25" s="18">
        <f>G24+Dt*F24</f>
        <v>0</v>
      </c>
      <c r="H25" s="6"/>
      <c r="I25" s="6"/>
      <c r="J25" s="6"/>
      <c r="K25" s="6"/>
      <c r="L25" s="6"/>
    </row>
    <row r="26" spans="1:16">
      <c r="A26" s="6"/>
      <c r="B26" s="10"/>
      <c r="C26" s="6"/>
      <c r="D26" s="6"/>
      <c r="E26" s="17">
        <f>E25+Dt</f>
        <v>0.1</v>
      </c>
      <c r="F26" s="25">
        <f>$F25+Dt*(10-2*$F25-5*$G25)</f>
        <v>0.95</v>
      </c>
      <c r="G26" s="18">
        <f>G25+Dt*F25</f>
        <v>2.5000000000000001E-2</v>
      </c>
      <c r="H26" s="6"/>
      <c r="I26" s="6"/>
      <c r="J26" s="6"/>
      <c r="K26" s="6"/>
      <c r="L26" s="6"/>
    </row>
    <row r="27" spans="1:16">
      <c r="A27" s="6"/>
      <c r="D27" s="12"/>
      <c r="E27" s="17">
        <f>E26+Dt</f>
        <v>0.15000000000000002</v>
      </c>
      <c r="F27" s="25">
        <f>$F26+Dt*(10-2*$F26-5*$G26)</f>
        <v>1.3487499999999999</v>
      </c>
      <c r="G27" s="18">
        <f>G26+Dt*F26</f>
        <v>7.2500000000000009E-2</v>
      </c>
      <c r="H27" s="6"/>
      <c r="I27" s="6"/>
      <c r="J27" s="6"/>
      <c r="K27" s="6"/>
      <c r="L27" s="6"/>
    </row>
    <row r="28" spans="1:16">
      <c r="A28" s="6"/>
      <c r="D28" s="6"/>
      <c r="E28" s="17">
        <f>E27+Dt</f>
        <v>0.2</v>
      </c>
      <c r="F28" s="25">
        <f>$F27+Dt*(10-2*$F27-5*$G27)</f>
        <v>1.6957499999999999</v>
      </c>
      <c r="G28" s="18">
        <f>G27+Dt*F27</f>
        <v>0.13993749999999999</v>
      </c>
      <c r="H28" s="6"/>
      <c r="I28" s="6"/>
      <c r="J28" s="6"/>
      <c r="K28" s="6"/>
      <c r="L28" s="6"/>
    </row>
    <row r="29" spans="1:16">
      <c r="A29" s="6"/>
      <c r="D29" s="6"/>
      <c r="E29" s="17">
        <f>E28+Dt</f>
        <v>0.25</v>
      </c>
      <c r="F29" s="25">
        <f>$F28+Dt*(10-2*$F28-5*$G28)</f>
        <v>1.9911906249999998</v>
      </c>
      <c r="G29" s="18">
        <f>G28+Dt*F28</f>
        <v>0.22472500000000001</v>
      </c>
      <c r="H29" s="6"/>
      <c r="I29" s="6"/>
      <c r="J29" s="6"/>
      <c r="K29" s="6"/>
      <c r="L29" s="6"/>
    </row>
    <row r="30" spans="1:16">
      <c r="A30" s="6"/>
      <c r="B30" s="10"/>
      <c r="C30" s="6"/>
      <c r="D30" s="6"/>
      <c r="E30" s="17">
        <f>E29+Dt</f>
        <v>0.3</v>
      </c>
      <c r="F30" s="25">
        <f>$F29+Dt*(10-2*$F29-5*$G29)</f>
        <v>2.2358903124999996</v>
      </c>
      <c r="G30" s="18">
        <f>G29+Dt*F29</f>
        <v>0.32428453125000001</v>
      </c>
      <c r="H30" s="6"/>
      <c r="I30" s="6"/>
      <c r="J30" s="6"/>
      <c r="K30" s="6"/>
      <c r="L30" s="6"/>
    </row>
    <row r="31" spans="1:16">
      <c r="A31" s="6"/>
      <c r="B31" s="10"/>
      <c r="C31" s="6"/>
      <c r="D31" s="6"/>
      <c r="E31" s="17">
        <f>E30+Dt</f>
        <v>0.35</v>
      </c>
      <c r="F31" s="25">
        <f>$F30+Dt*(10-2*$F30-5*$G30)</f>
        <v>2.4312301484374998</v>
      </c>
      <c r="G31" s="18">
        <f>G30+Dt*F30</f>
        <v>0.43607904687499999</v>
      </c>
      <c r="H31" s="6"/>
      <c r="I31" s="6"/>
      <c r="J31" s="6"/>
      <c r="K31" s="6"/>
      <c r="L31" s="6"/>
    </row>
    <row r="32" spans="1:16">
      <c r="A32" s="6"/>
      <c r="B32" s="10"/>
      <c r="C32" s="10"/>
      <c r="D32" s="6"/>
      <c r="E32" s="17">
        <f>E31+Dt</f>
        <v>0.39999999999999997</v>
      </c>
      <c r="F32" s="25">
        <f>$F31+Dt*(10-2*$F31-5*$G31)</f>
        <v>2.579087371875</v>
      </c>
      <c r="G32" s="18">
        <f>G31+Dt*F31</f>
        <v>0.55764055429687498</v>
      </c>
      <c r="H32" s="6"/>
      <c r="I32" s="6"/>
      <c r="J32" s="6"/>
      <c r="K32" s="6"/>
      <c r="L32" s="6"/>
    </row>
    <row r="33" spans="1:12">
      <c r="A33" s="6"/>
      <c r="B33" s="10"/>
      <c r="C33" s="10"/>
      <c r="D33" s="6"/>
      <c r="E33" s="17">
        <f>E32+Dt</f>
        <v>0.44999999999999996</v>
      </c>
      <c r="F33" s="25">
        <f>$F32+Dt*(10-2*$F32-5*$G32)</f>
        <v>2.6817684961132811</v>
      </c>
      <c r="G33" s="18">
        <f>G32+Dt*F32</f>
        <v>0.68659492289062496</v>
      </c>
      <c r="H33" s="6"/>
      <c r="I33" s="6"/>
      <c r="J33" s="6"/>
      <c r="K33" s="6"/>
      <c r="L33" s="6"/>
    </row>
    <row r="34" spans="1:12">
      <c r="A34" s="6"/>
      <c r="B34" s="6"/>
      <c r="C34" s="10"/>
      <c r="D34" s="10"/>
      <c r="E34" s="17">
        <f>E33+Dt</f>
        <v>0.49999999999999994</v>
      </c>
      <c r="F34" s="25">
        <f>$F33+Dt*(10-2*$F33-5*$G33)</f>
        <v>2.7419429157792967</v>
      </c>
      <c r="G34" s="18">
        <f>G33+Dt*F33</f>
        <v>0.82068334769628903</v>
      </c>
      <c r="H34" s="6"/>
      <c r="I34" s="6"/>
      <c r="J34" s="6"/>
      <c r="K34" s="6"/>
      <c r="L34" s="6"/>
    </row>
    <row r="35" spans="1:12">
      <c r="A35" s="6"/>
      <c r="B35" s="6"/>
      <c r="C35" s="6"/>
      <c r="D35" s="6"/>
      <c r="E35" s="17">
        <f>E34+Dt</f>
        <v>0.54999999999999993</v>
      </c>
      <c r="F35" s="25">
        <f>$F34+Dt*(10-2*$F34-5*$G34)</f>
        <v>2.7625777872772947</v>
      </c>
      <c r="G35" s="18">
        <f>G34+Dt*F34</f>
        <v>0.95778049348525385</v>
      </c>
      <c r="H35" s="6"/>
      <c r="I35" s="6"/>
      <c r="J35" s="6"/>
      <c r="K35" s="6"/>
      <c r="L35" s="6"/>
    </row>
    <row r="36" spans="1:12">
      <c r="A36" s="6"/>
      <c r="B36" s="6"/>
      <c r="C36" s="6"/>
      <c r="D36" s="7"/>
      <c r="E36" s="17">
        <f>E35+Dt</f>
        <v>0.6</v>
      </c>
      <c r="F36" s="25">
        <f>$F35+Dt*(10-2*$F35-5*$G35)</f>
        <v>2.7468748851782516</v>
      </c>
      <c r="G36" s="18">
        <f>G35+Dt*F35</f>
        <v>1.0959093828491187</v>
      </c>
      <c r="H36" s="6"/>
      <c r="I36" s="6"/>
      <c r="J36" s="6"/>
      <c r="K36" s="6"/>
      <c r="L36" s="6"/>
    </row>
    <row r="37" spans="1:12">
      <c r="A37" s="6"/>
      <c r="B37" s="6"/>
      <c r="C37" s="6"/>
      <c r="D37" s="7"/>
      <c r="E37" s="17">
        <f>E36+Dt</f>
        <v>0.65</v>
      </c>
      <c r="F37" s="25">
        <f>$F36+Dt*(10-2*$F36-5*$G36)</f>
        <v>2.6982100509481466</v>
      </c>
      <c r="G37" s="18">
        <f>G36+Dt*F36</f>
        <v>1.2332531271080311</v>
      </c>
      <c r="H37" s="6"/>
      <c r="I37" s="6"/>
      <c r="J37" s="6"/>
      <c r="K37" s="6"/>
      <c r="L37" s="6"/>
    </row>
    <row r="38" spans="1:12">
      <c r="A38" s="6"/>
      <c r="B38" s="6"/>
      <c r="C38" s="6"/>
      <c r="D38" s="7"/>
      <c r="E38" s="17">
        <f>E37+Dt</f>
        <v>0.70000000000000007</v>
      </c>
      <c r="F38" s="25">
        <f>$F37+Dt*(10-2*$F37-5*$G37)</f>
        <v>2.6200757640763239</v>
      </c>
      <c r="G38" s="18">
        <f>G37+Dt*F37</f>
        <v>1.3681636296554385</v>
      </c>
      <c r="H38" s="6"/>
      <c r="I38" s="6"/>
      <c r="J38" s="6"/>
      <c r="K38" s="6"/>
      <c r="L38" s="6"/>
    </row>
    <row r="39" spans="1:12">
      <c r="A39" s="6"/>
      <c r="B39" s="6"/>
      <c r="C39" s="6"/>
      <c r="D39" s="7"/>
      <c r="E39" s="17">
        <f>E38+Dt</f>
        <v>0.75000000000000011</v>
      </c>
      <c r="F39" s="25">
        <f>$F38+Dt*(10-2*$F38-5*$G38)</f>
        <v>2.516027280254832</v>
      </c>
      <c r="G39" s="18">
        <f>G38+Dt*F38</f>
        <v>1.4991674178592547</v>
      </c>
      <c r="H39" s="6"/>
      <c r="I39" s="6"/>
      <c r="J39" s="6"/>
      <c r="K39" s="6"/>
      <c r="L39" s="6"/>
    </row>
    <row r="40" spans="1:12">
      <c r="A40" s="6"/>
      <c r="B40" s="6"/>
      <c r="C40" s="6"/>
      <c r="D40" s="7"/>
      <c r="E40" s="17">
        <f>E39+Dt</f>
        <v>0.80000000000000016</v>
      </c>
      <c r="F40" s="25">
        <f>$F39+Dt*(10-2*$F39-5*$G39)</f>
        <v>2.3896326977645352</v>
      </c>
      <c r="G40" s="18">
        <f>G39+Dt*F39</f>
        <v>1.6249687818719962</v>
      </c>
      <c r="H40" s="6"/>
      <c r="I40" s="6"/>
      <c r="J40" s="6"/>
      <c r="K40" s="6"/>
      <c r="L40" s="6"/>
    </row>
    <row r="41" spans="1:12">
      <c r="A41" s="6"/>
      <c r="B41" s="6"/>
      <c r="C41" s="6"/>
      <c r="D41" s="7"/>
      <c r="E41" s="17">
        <f>E40+Dt</f>
        <v>0.8500000000000002</v>
      </c>
      <c r="F41" s="25">
        <f>$F40+Dt*(10-2*$F40-5*$G40)</f>
        <v>2.2444272325200827</v>
      </c>
      <c r="G41" s="18">
        <f>G40+Dt*F40</f>
        <v>1.7444504167602231</v>
      </c>
      <c r="H41" s="6"/>
      <c r="I41" s="6"/>
      <c r="J41" s="6"/>
      <c r="K41" s="6"/>
      <c r="L41" s="6"/>
    </row>
    <row r="42" spans="1:12">
      <c r="A42" s="6"/>
      <c r="B42" s="6"/>
      <c r="C42" s="6"/>
      <c r="D42" s="7"/>
      <c r="E42" s="17">
        <f>E41+Dt</f>
        <v>0.90000000000000024</v>
      </c>
      <c r="F42" s="25">
        <f>$F41+Dt*(10-2*$F41-5*$G41)</f>
        <v>2.0838719050780186</v>
      </c>
      <c r="G42" s="18">
        <f>G41+Dt*F41</f>
        <v>1.8566717783862272</v>
      </c>
      <c r="H42" s="6"/>
      <c r="I42" s="6"/>
      <c r="J42" s="6"/>
      <c r="K42" s="6"/>
      <c r="L42" s="6"/>
    </row>
    <row r="43" spans="1:12">
      <c r="A43" s="6"/>
      <c r="B43" s="6"/>
      <c r="C43" s="6"/>
      <c r="D43" s="7"/>
      <c r="E43" s="17">
        <f>E42+Dt</f>
        <v>0.95000000000000029</v>
      </c>
      <c r="F43" s="25">
        <f>$F42+Dt*(10-2*$F42-5*$G42)</f>
        <v>1.9113167699736597</v>
      </c>
      <c r="G43" s="18">
        <f>G42+Dt*F42</f>
        <v>1.9608653736401283</v>
      </c>
      <c r="H43" s="6"/>
      <c r="I43" s="6"/>
      <c r="J43" s="6"/>
      <c r="K43" s="6"/>
      <c r="L43" s="6"/>
    </row>
    <row r="44" spans="1:12">
      <c r="A44" s="6"/>
      <c r="B44" s="6"/>
      <c r="C44" s="6"/>
      <c r="D44" s="7"/>
      <c r="E44" s="17">
        <f>E43+Dt</f>
        <v>1.0000000000000002</v>
      </c>
      <c r="F44" s="25">
        <f>$F43+Dt*(10-2*$F43-5*$G43)</f>
        <v>1.7299687495662617</v>
      </c>
      <c r="G44" s="18">
        <f>G43+Dt*F43</f>
        <v>2.0564312121388113</v>
      </c>
      <c r="H44" s="6"/>
      <c r="I44" s="6"/>
      <c r="J44" s="6"/>
      <c r="K44" s="6"/>
      <c r="L44" s="6"/>
    </row>
    <row r="45" spans="1:12">
      <c r="A45" s="6"/>
      <c r="B45" s="6"/>
      <c r="C45" s="6"/>
      <c r="D45" s="7"/>
      <c r="E45" s="17">
        <f>E44+Dt</f>
        <v>1.0500000000000003</v>
      </c>
      <c r="F45" s="25">
        <f>$F44+Dt*(10-2*$F44-5*$G44)</f>
        <v>1.5428640715749327</v>
      </c>
      <c r="G45" s="18">
        <f>G44+Dt*F44</f>
        <v>2.1429296496171242</v>
      </c>
      <c r="H45" s="6"/>
      <c r="I45" s="6"/>
      <c r="J45" s="6"/>
      <c r="K45" s="6"/>
      <c r="L45" s="6"/>
    </row>
    <row r="46" spans="1:12">
      <c r="A46" s="6"/>
      <c r="B46" s="6"/>
      <c r="C46" s="6"/>
      <c r="D46" s="7"/>
      <c r="E46" s="17">
        <f>E45+Dt</f>
        <v>1.1000000000000003</v>
      </c>
      <c r="F46" s="25">
        <f>$F45+Dt*(10-2*$F45-5*$G45)</f>
        <v>1.3528452520131584</v>
      </c>
      <c r="G46" s="18">
        <f>G45+Dt*F45</f>
        <v>2.2200728531958709</v>
      </c>
      <c r="H46" s="6"/>
      <c r="I46" s="6"/>
      <c r="J46" s="6"/>
      <c r="K46" s="6"/>
      <c r="L46" s="6"/>
    </row>
    <row r="47" spans="1:12">
      <c r="A47" s="6"/>
      <c r="B47" s="6"/>
      <c r="C47" s="6"/>
      <c r="D47" s="7"/>
      <c r="E47" s="17">
        <f>E46+Dt</f>
        <v>1.1500000000000004</v>
      </c>
      <c r="F47" s="25">
        <f>$F46+Dt*(10-2*$F46-5*$G46)</f>
        <v>1.1625425135128749</v>
      </c>
      <c r="G47" s="18">
        <f>G46+Dt*F46</f>
        <v>2.2877151157965288</v>
      </c>
      <c r="H47" s="6"/>
      <c r="I47" s="6"/>
      <c r="J47" s="6"/>
      <c r="K47" s="6"/>
      <c r="L47" s="6"/>
    </row>
    <row r="48" spans="1:12">
      <c r="A48" s="6"/>
      <c r="B48" s="6"/>
      <c r="C48" s="6"/>
      <c r="D48" s="7"/>
      <c r="E48" s="17">
        <f>E47+Dt</f>
        <v>1.2000000000000004</v>
      </c>
      <c r="F48" s="25">
        <f>$F47+Dt*(10-2*$F47-5*$G47)</f>
        <v>0.97435948321245514</v>
      </c>
      <c r="G48" s="18">
        <f>G47+Dt*F47</f>
        <v>2.3458422414721727</v>
      </c>
      <c r="H48" s="6"/>
      <c r="I48" s="6"/>
      <c r="J48" s="6"/>
      <c r="K48" s="6"/>
      <c r="L48" s="6"/>
    </row>
    <row r="49" spans="1:12">
      <c r="A49" s="6"/>
      <c r="B49" s="6"/>
      <c r="C49" s="6"/>
      <c r="D49" s="7"/>
      <c r="E49" s="17">
        <f>E48+Dt</f>
        <v>1.2500000000000004</v>
      </c>
      <c r="F49" s="25">
        <f>$F48+Dt*(10-2*$F48-5*$G48)</f>
        <v>0.7904629745231665</v>
      </c>
      <c r="G49" s="18">
        <f>G48+Dt*F48</f>
        <v>2.3945602156327954</v>
      </c>
      <c r="H49" s="6"/>
      <c r="I49" s="6"/>
      <c r="J49" s="6"/>
      <c r="K49" s="6"/>
      <c r="L49" s="6"/>
    </row>
    <row r="50" spans="1:12">
      <c r="A50" s="6"/>
      <c r="B50" s="6"/>
      <c r="C50" s="6"/>
      <c r="D50" s="7"/>
      <c r="E50" s="17">
        <f>E49+Dt</f>
        <v>1.3000000000000005</v>
      </c>
      <c r="F50" s="25">
        <f>$F49+Dt*(10-2*$F49-5*$G49)</f>
        <v>0.61277662316265091</v>
      </c>
      <c r="G50" s="18">
        <f>G49+Dt*F49</f>
        <v>2.4340833643589539</v>
      </c>
      <c r="H50" s="6"/>
      <c r="I50" s="6"/>
      <c r="J50" s="6"/>
      <c r="K50" s="6"/>
      <c r="L50" s="6"/>
    </row>
    <row r="51" spans="1:12">
      <c r="A51" s="6"/>
      <c r="B51" s="6"/>
      <c r="C51" s="6"/>
      <c r="D51" s="7"/>
      <c r="E51" s="17">
        <f>E50+Dt</f>
        <v>1.3500000000000005</v>
      </c>
      <c r="F51" s="25">
        <f>$F50+Dt*(10-2*$F50-5*$G50)</f>
        <v>0.44297811975664736</v>
      </c>
      <c r="G51" s="18">
        <f>G50+Dt*F50</f>
        <v>2.4647221955170866</v>
      </c>
      <c r="H51" s="6"/>
      <c r="I51" s="6"/>
      <c r="J51" s="6"/>
      <c r="K51" s="6"/>
      <c r="L51" s="6"/>
    </row>
    <row r="52" spans="1:12">
      <c r="A52" s="6"/>
      <c r="B52" s="6"/>
      <c r="C52" s="6"/>
      <c r="D52" s="7"/>
      <c r="E52" s="17">
        <f>E51+Dt</f>
        <v>1.4000000000000006</v>
      </c>
      <c r="F52" s="25">
        <f>$F51+Dt*(10-2*$F51-5*$G51)</f>
        <v>0.28249975890171097</v>
      </c>
      <c r="G52" s="18">
        <f>G51+Dt*F51</f>
        <v>2.486871101504919</v>
      </c>
      <c r="H52" s="6"/>
      <c r="I52" s="6"/>
      <c r="J52" s="6"/>
      <c r="K52" s="6"/>
      <c r="L52" s="6"/>
    </row>
    <row r="53" spans="1:12">
      <c r="A53" s="6"/>
      <c r="B53" s="6"/>
      <c r="C53" s="6"/>
      <c r="D53" s="7"/>
      <c r="E53" s="17">
        <f>E52+Dt</f>
        <v>1.4500000000000006</v>
      </c>
      <c r="F53" s="25">
        <f>$F52+Dt*(10-2*$F52-5*$G52)</f>
        <v>0.13253200763531015</v>
      </c>
      <c r="G53" s="18">
        <f>G52+Dt*F52</f>
        <v>2.5009960894500045</v>
      </c>
      <c r="H53" s="6"/>
      <c r="I53" s="6"/>
      <c r="J53" s="6"/>
      <c r="K53" s="6"/>
      <c r="L53" s="6"/>
    </row>
    <row r="54" spans="1:12">
      <c r="A54" s="6"/>
      <c r="B54" s="6"/>
      <c r="C54" s="6"/>
      <c r="D54" s="7"/>
      <c r="E54" s="17">
        <f>E53+Dt</f>
        <v>1.5000000000000007</v>
      </c>
      <c r="F54" s="25">
        <f>$F53+Dt*(10-2*$F53-5*$G53)</f>
        <v>-5.970215490722075E-3</v>
      </c>
      <c r="G54" s="18">
        <f>G53+Dt*F53</f>
        <v>2.5076226898317699</v>
      </c>
      <c r="H54" s="6"/>
      <c r="I54" s="6"/>
      <c r="J54" s="6"/>
      <c r="K54" s="6"/>
      <c r="L54" s="6"/>
    </row>
    <row r="55" spans="1:12">
      <c r="A55" s="6"/>
      <c r="B55" s="6"/>
      <c r="C55" s="6"/>
      <c r="D55" s="7"/>
      <c r="E55" s="17">
        <f>E54+Dt</f>
        <v>1.5500000000000007</v>
      </c>
      <c r="F55" s="25">
        <f>$F54+Dt*(10-2*$F54-5*$G54)</f>
        <v>-0.13227886639959238</v>
      </c>
      <c r="G55" s="18">
        <f>G54+Dt*F54</f>
        <v>2.507324179057234</v>
      </c>
      <c r="H55" s="6"/>
      <c r="I55" s="6"/>
      <c r="J55" s="6"/>
      <c r="K55" s="6"/>
      <c r="L55" s="6"/>
    </row>
    <row r="56" spans="1:12">
      <c r="A56" s="6"/>
      <c r="B56" s="6"/>
      <c r="C56" s="6"/>
      <c r="D56" s="7"/>
      <c r="E56" s="17">
        <f>E55+Dt</f>
        <v>1.6000000000000008</v>
      </c>
      <c r="F56" s="25">
        <f>$F55+Dt*(10-2*$F55-5*$G55)</f>
        <v>-0.24588202452394164</v>
      </c>
      <c r="G56" s="18">
        <f>G55+Dt*F55</f>
        <v>2.5007102357372544</v>
      </c>
      <c r="H56" s="6"/>
      <c r="I56" s="6"/>
      <c r="J56" s="6"/>
      <c r="K56" s="6"/>
      <c r="L56" s="6"/>
    </row>
    <row r="57" spans="1:12">
      <c r="A57" s="6"/>
      <c r="B57" s="6"/>
      <c r="C57" s="6"/>
      <c r="D57" s="7"/>
      <c r="E57" s="17">
        <f>E56+Dt</f>
        <v>1.6500000000000008</v>
      </c>
      <c r="F57" s="25">
        <f>$F56+Dt*(10-2*$F56-5*$G56)</f>
        <v>-0.34647138100586111</v>
      </c>
      <c r="G57" s="18">
        <f>G56+Dt*F56</f>
        <v>2.4884161345110574</v>
      </c>
      <c r="H57" s="6"/>
      <c r="I57" s="6"/>
      <c r="J57" s="6"/>
      <c r="K57" s="6"/>
      <c r="L57" s="6"/>
    </row>
    <row r="58" spans="1:12">
      <c r="A58" s="6"/>
      <c r="B58" s="6"/>
      <c r="C58" s="6"/>
      <c r="D58" s="7"/>
      <c r="E58" s="17">
        <f>E57+Dt</f>
        <v>1.7000000000000008</v>
      </c>
      <c r="F58" s="25">
        <f>$F57+Dt*(10-2*$F57-5*$G57)</f>
        <v>-0.43392827653303939</v>
      </c>
      <c r="G58" s="18">
        <f>G57+Dt*F57</f>
        <v>2.4710925654607645</v>
      </c>
      <c r="H58" s="8"/>
      <c r="I58" s="6"/>
      <c r="J58" s="6"/>
      <c r="K58" s="6"/>
      <c r="L58" s="6"/>
    </row>
    <row r="59" spans="1:12">
      <c r="A59" s="6"/>
      <c r="B59" s="6"/>
      <c r="C59" s="6"/>
      <c r="D59" s="7"/>
      <c r="E59" s="17">
        <f>E58+Dt</f>
        <v>1.7500000000000009</v>
      </c>
      <c r="F59" s="25">
        <f>$F58+Dt*(10-2*$F58-5*$G58)</f>
        <v>-0.50830859024492669</v>
      </c>
      <c r="G59" s="18">
        <f>G58+Dt*F58</f>
        <v>2.4493961516341125</v>
      </c>
      <c r="H59" s="6"/>
      <c r="I59" s="6"/>
      <c r="J59" s="6"/>
      <c r="K59" s="6"/>
      <c r="L59" s="6"/>
    </row>
    <row r="60" spans="1:12">
      <c r="A60" s="6"/>
      <c r="B60" s="6"/>
      <c r="C60" s="6"/>
      <c r="D60" s="7"/>
      <c r="E60" s="17">
        <f>E59+Dt</f>
        <v>1.8000000000000009</v>
      </c>
      <c r="F60" s="25">
        <f>$F59+Dt*(10-2*$F59-5*$G59)</f>
        <v>-0.56982676912896213</v>
      </c>
      <c r="G60" s="18">
        <f>G59+Dt*F59</f>
        <v>2.4239807221218661</v>
      </c>
      <c r="H60" s="12"/>
      <c r="I60" s="6"/>
      <c r="J60" s="6"/>
      <c r="K60" s="6"/>
      <c r="L60" s="6"/>
    </row>
    <row r="61" spans="1:12">
      <c r="A61" s="6"/>
      <c r="B61" s="6"/>
      <c r="C61" s="6"/>
      <c r="D61" s="7"/>
      <c r="E61" s="17">
        <f>E60+Dt</f>
        <v>1.850000000000001</v>
      </c>
      <c r="F61" s="25">
        <f>$F60+Dt*(10-2*$F60-5*$G60)</f>
        <v>-0.6188392727465325</v>
      </c>
      <c r="G61" s="18">
        <f>G60+Dt*F60</f>
        <v>2.3954893836654181</v>
      </c>
      <c r="H61" s="6"/>
      <c r="I61" s="6"/>
      <c r="J61" s="6"/>
      <c r="K61" s="6"/>
      <c r="L61" s="6"/>
    </row>
    <row r="62" spans="1:12">
      <c r="A62" s="6"/>
      <c r="B62" s="6"/>
      <c r="C62" s="6"/>
      <c r="D62" s="7"/>
      <c r="E62" s="17">
        <f>E61+Dt</f>
        <v>1.900000000000001</v>
      </c>
      <c r="F62" s="25">
        <f>$F61+Dt*(10-2*$F61-5*$G61)</f>
        <v>-0.65582769138823371</v>
      </c>
      <c r="G62" s="18">
        <f>G61+Dt*F61</f>
        <v>2.3645474200280914</v>
      </c>
      <c r="H62" s="6"/>
      <c r="I62" s="6"/>
      <c r="J62" s="6"/>
      <c r="K62" s="6"/>
      <c r="L62" s="6"/>
    </row>
    <row r="63" spans="1:12">
      <c r="A63" s="6"/>
      <c r="B63" s="6"/>
      <c r="C63" s="6"/>
      <c r="D63" s="7"/>
      <c r="E63" s="17">
        <f>E62+Dt</f>
        <v>1.9500000000000011</v>
      </c>
      <c r="F63" s="25">
        <f>$F62+Dt*(10-2*$F62-5*$G62)</f>
        <v>-0.68138177725643323</v>
      </c>
      <c r="G63" s="18">
        <f>G62+Dt*F62</f>
        <v>2.3317560354586795</v>
      </c>
      <c r="H63" s="6"/>
      <c r="I63" s="6"/>
      <c r="J63" s="6"/>
      <c r="K63" s="6"/>
      <c r="L63" s="6"/>
    </row>
    <row r="64" spans="1:12">
      <c r="A64" s="6"/>
      <c r="B64" s="6"/>
      <c r="C64" s="6"/>
      <c r="D64" s="7"/>
      <c r="E64" s="17">
        <f>E63+Dt</f>
        <v>2.0000000000000009</v>
      </c>
      <c r="F64" s="25">
        <f>$F63+Dt*(10-2*$F63-5*$G63)</f>
        <v>-0.69618260839545976</v>
      </c>
      <c r="G64" s="18">
        <f>G63+Dt*F63</f>
        <v>2.2976869465958578</v>
      </c>
      <c r="H64" s="6"/>
      <c r="I64" s="6"/>
      <c r="J64" s="6"/>
      <c r="K64" s="6"/>
      <c r="L64" s="6"/>
    </row>
    <row r="65" spans="1:12">
      <c r="A65" s="6"/>
      <c r="B65" s="6"/>
      <c r="C65" s="6"/>
      <c r="D65" s="7"/>
      <c r="E65" s="17">
        <f>E64+Dt</f>
        <v>2.0500000000000007</v>
      </c>
      <c r="F65" s="25">
        <f>$F64+Dt*(10-2*$F64-5*$G64)</f>
        <v>-0.70098608420487829</v>
      </c>
      <c r="G65" s="18">
        <f>G64+Dt*F64</f>
        <v>2.262877816176085</v>
      </c>
      <c r="H65" s="6"/>
      <c r="I65" s="6"/>
      <c r="J65" s="6"/>
      <c r="K65" s="6"/>
      <c r="L65" s="6"/>
    </row>
    <row r="66" spans="1:12">
      <c r="A66" s="6"/>
      <c r="B66" s="6"/>
      <c r="C66" s="6"/>
      <c r="D66" s="7"/>
      <c r="E66" s="17">
        <f>E65+Dt</f>
        <v>2.1000000000000005</v>
      </c>
      <c r="F66" s="25">
        <f>$F65+Dt*(10-2*$F65-5*$G65)</f>
        <v>-0.69660692982841166</v>
      </c>
      <c r="G66" s="18">
        <f>G65+Dt*F65</f>
        <v>2.227828511965841</v>
      </c>
      <c r="H66" s="6"/>
      <c r="I66" s="6"/>
      <c r="J66" s="6"/>
      <c r="K66" s="6"/>
      <c r="L66" s="6"/>
    </row>
    <row r="67" spans="1:12">
      <c r="A67" s="6"/>
      <c r="B67" s="6"/>
      <c r="C67" s="6"/>
      <c r="D67" s="7"/>
      <c r="E67" s="17">
        <f>E66+Dt</f>
        <v>2.1500000000000004</v>
      </c>
      <c r="F67" s="25">
        <f>$F66+Dt*(10-2*$F66-5*$G66)</f>
        <v>-0.68390336483703074</v>
      </c>
      <c r="G67" s="18">
        <f>G66+Dt*F66</f>
        <v>2.1929981654744202</v>
      </c>
      <c r="H67" s="6"/>
      <c r="I67" s="6"/>
      <c r="J67" s="6"/>
      <c r="K67" s="6"/>
      <c r="L67" s="6"/>
    </row>
    <row r="68" spans="1:12">
      <c r="A68" s="6"/>
      <c r="B68" s="6"/>
      <c r="C68" s="6"/>
      <c r="D68" s="7"/>
      <c r="E68" s="17">
        <f>E67+Dt</f>
        <v>2.2000000000000002</v>
      </c>
      <c r="F68" s="25">
        <f>$F67+Dt*(10-2*$F67-5*$G67)</f>
        <v>-0.6637625697219327</v>
      </c>
      <c r="G68" s="18">
        <f>G67+Dt*F67</f>
        <v>2.1588029972325686</v>
      </c>
      <c r="H68" s="6"/>
      <c r="I68" s="6"/>
      <c r="J68" s="6"/>
      <c r="K68" s="6"/>
      <c r="L68" s="6"/>
    </row>
    <row r="69" spans="1:12">
      <c r="A69" s="6"/>
      <c r="B69" s="6"/>
      <c r="C69" s="6"/>
      <c r="D69" s="7"/>
      <c r="E69" s="17">
        <f>E68+Dt</f>
        <v>2.25</v>
      </c>
      <c r="F69" s="25">
        <f>$F68+Dt*(10-2*$F68-5*$G68)</f>
        <v>-0.63708706205788157</v>
      </c>
      <c r="G69" s="18">
        <f>G68+Dt*F68</f>
        <v>2.1256148687464722</v>
      </c>
      <c r="H69" s="6"/>
      <c r="I69" s="6"/>
      <c r="J69" s="6"/>
      <c r="K69" s="6"/>
      <c r="L69" s="6"/>
    </row>
    <row r="70" spans="1:12">
      <c r="A70" s="6"/>
      <c r="B70" s="6"/>
      <c r="C70" s="6"/>
      <c r="D70" s="7"/>
      <c r="E70" s="17">
        <f>E69+Dt</f>
        <v>2.2999999999999998</v>
      </c>
      <c r="F70" s="25">
        <f>$F69+Dt*(10-2*$F69-5*$G69)</f>
        <v>-0.60478207303871145</v>
      </c>
      <c r="G70" s="18">
        <f>G69+Dt*F69</f>
        <v>2.0937605156435781</v>
      </c>
      <c r="H70" s="6"/>
      <c r="I70" s="6"/>
      <c r="J70" s="6"/>
      <c r="K70" s="6"/>
      <c r="L70" s="6"/>
    </row>
    <row r="71" spans="1:12">
      <c r="A71" s="6"/>
      <c r="B71" s="6"/>
      <c r="C71" s="6"/>
      <c r="D71" s="7"/>
      <c r="E71" s="17">
        <f>E70+Dt</f>
        <v>2.3499999999999996</v>
      </c>
      <c r="F71" s="25">
        <f>$F70+Dt*(10-2*$F70-5*$G70)</f>
        <v>-0.56774399464573477</v>
      </c>
      <c r="G71" s="18">
        <f>G70+Dt*F70</f>
        <v>2.0635214119916427</v>
      </c>
      <c r="H71" s="6"/>
      <c r="I71" s="6"/>
      <c r="J71" s="6"/>
      <c r="K71" s="6"/>
      <c r="L71" s="6"/>
    </row>
    <row r="72" spans="1:12">
      <c r="A72" s="6"/>
      <c r="B72" s="6"/>
      <c r="C72" s="6"/>
      <c r="D72" s="7"/>
      <c r="E72" s="17">
        <f>E71+Dt</f>
        <v>2.3999999999999995</v>
      </c>
      <c r="F72" s="25">
        <f>$F71+Dt*(10-2*$F71-5*$G71)</f>
        <v>-0.52684994817907194</v>
      </c>
      <c r="G72" s="18">
        <f>G71+Dt*F71</f>
        <v>2.0351342122593561</v>
      </c>
      <c r="H72" s="6"/>
      <c r="I72" s="6"/>
      <c r="J72" s="6"/>
      <c r="K72" s="6"/>
      <c r="L72" s="6"/>
    </row>
    <row r="73" spans="1:12">
      <c r="A73" s="6"/>
      <c r="B73" s="6"/>
      <c r="C73" s="6"/>
      <c r="D73" s="7"/>
      <c r="E73" s="17">
        <f>E72+Dt</f>
        <v>2.4499999999999993</v>
      </c>
      <c r="F73" s="25">
        <f>$F72+Dt*(10-2*$F72-5*$G72)</f>
        <v>-0.48294850642600379</v>
      </c>
      <c r="G73" s="18">
        <f>G72+Dt*F72</f>
        <v>2.0087917148504024</v>
      </c>
      <c r="H73" s="6"/>
      <c r="I73" s="6"/>
      <c r="J73" s="6"/>
      <c r="K73" s="6"/>
      <c r="L73" s="6"/>
    </row>
    <row r="74" spans="1:12">
      <c r="A74" s="6"/>
      <c r="B74" s="6"/>
      <c r="C74" s="6"/>
      <c r="D74" s="7"/>
      <c r="E74" s="17">
        <f>E73+Dt</f>
        <v>2.4999999999999991</v>
      </c>
      <c r="F74" s="25">
        <f>$F73+Dt*(10-2*$F73-5*$G73)</f>
        <v>-0.43685158449600403</v>
      </c>
      <c r="G74" s="18">
        <f>G73+Dt*F73</f>
        <v>1.9846442895291023</v>
      </c>
      <c r="H74" s="6"/>
      <c r="I74" s="6"/>
      <c r="J74" s="6"/>
      <c r="K74" s="6"/>
      <c r="L74" s="6"/>
    </row>
    <row r="75" spans="1:12">
      <c r="A75" s="6"/>
      <c r="B75" s="6"/>
      <c r="C75" s="6"/>
      <c r="D75" s="7"/>
      <c r="E75" s="17">
        <f>E74+Dt</f>
        <v>2.5499999999999989</v>
      </c>
      <c r="F75" s="25">
        <f>$F74+Dt*(10-2*$F74-5*$G74)</f>
        <v>-0.3893274984286792</v>
      </c>
      <c r="G75" s="18">
        <f>G74+Dt*F74</f>
        <v>1.9628017103043021</v>
      </c>
      <c r="H75" s="6"/>
      <c r="I75" s="6"/>
      <c r="J75" s="6"/>
      <c r="K75" s="6"/>
      <c r="L75" s="6"/>
    </row>
    <row r="76" spans="1:12">
      <c r="A76" s="6"/>
      <c r="B76" s="6"/>
      <c r="C76" s="6"/>
      <c r="D76" s="7"/>
      <c r="E76" s="17">
        <f>E75+Dt</f>
        <v>2.5999999999999988</v>
      </c>
      <c r="F76" s="25">
        <f>$F75+Dt*(10-2*$F75-5*$G75)</f>
        <v>-0.34109517616188678</v>
      </c>
      <c r="G76" s="18">
        <f>G75+Dt*F75</f>
        <v>1.9433353353828682</v>
      </c>
      <c r="H76" s="6"/>
      <c r="I76" s="6"/>
      <c r="J76" s="6"/>
      <c r="K76" s="6"/>
      <c r="L76" s="6"/>
    </row>
    <row r="77" spans="1:12">
      <c r="A77" s="6"/>
      <c r="B77" s="6"/>
      <c r="C77" s="6"/>
      <c r="D77" s="7"/>
      <c r="E77" s="17">
        <f>E76+Dt</f>
        <v>2.6499999999999986</v>
      </c>
      <c r="F77" s="25">
        <f>$F76+Dt*(10-2*$F76-5*$G76)</f>
        <v>-0.29281949239141514</v>
      </c>
      <c r="G77" s="18">
        <f>G76+Dt*F76</f>
        <v>1.9262805765747739</v>
      </c>
      <c r="H77" s="6"/>
      <c r="I77" s="6"/>
      <c r="J77" s="6"/>
      <c r="K77" s="6"/>
      <c r="L77" s="6"/>
    </row>
    <row r="78" spans="1:12">
      <c r="A78" s="6"/>
      <c r="B78" s="6"/>
      <c r="C78" s="6"/>
      <c r="D78" s="7"/>
      <c r="E78" s="17">
        <f>E77+Dt</f>
        <v>2.6999999999999984</v>
      </c>
      <c r="F78" s="25">
        <f>$F77+Dt*(10-2*$F77-5*$G77)</f>
        <v>-0.24510768729596707</v>
      </c>
      <c r="G78" s="18">
        <f>G77+Dt*F77</f>
        <v>1.9116396019552031</v>
      </c>
      <c r="H78" s="6"/>
      <c r="I78" s="6"/>
      <c r="J78" s="6"/>
      <c r="K78" s="6"/>
      <c r="L78" s="6"/>
    </row>
    <row r="79" spans="1:12">
      <c r="A79" s="6"/>
      <c r="B79" s="6"/>
      <c r="C79" s="6"/>
      <c r="D79" s="7"/>
      <c r="E79" s="17">
        <f>E78+Dt</f>
        <v>2.7499999999999982</v>
      </c>
      <c r="F79" s="25">
        <f>$F78+Dt*(10-2*$F78-5*$G78)</f>
        <v>-0.19850681905517117</v>
      </c>
      <c r="G79" s="18">
        <f>G78+Dt*F78</f>
        <v>1.8993842175904048</v>
      </c>
      <c r="H79" s="6"/>
      <c r="I79" s="6"/>
      <c r="J79" s="6"/>
      <c r="K79" s="6"/>
      <c r="L79" s="6"/>
    </row>
    <row r="80" spans="1:12">
      <c r="A80" s="6"/>
      <c r="B80" s="6"/>
      <c r="C80" s="6"/>
      <c r="D80" s="7"/>
      <c r="E80" s="17">
        <f>E79+Dt</f>
        <v>2.799999999999998</v>
      </c>
      <c r="F80" s="25">
        <f>$F79+Dt*(10-2*$F79-5*$G79)</f>
        <v>-0.15350219154725528</v>
      </c>
      <c r="G80" s="18">
        <f>G79+Dt*F79</f>
        <v>1.8894588766376461</v>
      </c>
      <c r="H80" s="6"/>
      <c r="I80" s="6"/>
      <c r="J80" s="6"/>
      <c r="K80" s="6"/>
      <c r="L80" s="6"/>
    </row>
    <row r="81" spans="1:12">
      <c r="A81" s="6"/>
      <c r="B81" s="6"/>
      <c r="C81" s="6"/>
      <c r="D81" s="7"/>
      <c r="E81" s="17">
        <f>E80+Dt</f>
        <v>2.8499999999999979</v>
      </c>
      <c r="F81" s="25">
        <f>$F80+Dt*(10-2*$F80-5*$G80)</f>
        <v>-0.11051669155194133</v>
      </c>
      <c r="G81" s="18">
        <f>G80+Dt*F80</f>
        <v>1.8817837670602833</v>
      </c>
      <c r="H81" s="6"/>
      <c r="I81" s="6"/>
      <c r="J81" s="6"/>
      <c r="K81" s="6"/>
      <c r="L81" s="6"/>
    </row>
    <row r="82" spans="1:12">
      <c r="A82" s="6"/>
      <c r="B82" s="6"/>
      <c r="C82" s="6"/>
      <c r="D82" s="7"/>
      <c r="E82" s="17">
        <f>E81+Dt</f>
        <v>2.8999999999999977</v>
      </c>
      <c r="F82" s="25">
        <f>$F81+Dt*(10-2*$F81-5*$G81)</f>
        <v>-6.9910964161818023E-2</v>
      </c>
      <c r="G82" s="18">
        <f>G81+Dt*F81</f>
        <v>1.8762579324826862</v>
      </c>
      <c r="H82" s="6"/>
      <c r="I82" s="6"/>
      <c r="J82" s="6"/>
      <c r="K82" s="6"/>
      <c r="L82" s="6"/>
    </row>
    <row r="83" spans="1:12">
      <c r="A83" s="6"/>
      <c r="B83" s="6"/>
      <c r="C83" s="6"/>
      <c r="D83" s="7"/>
      <c r="E83" s="17">
        <f>E82+Dt</f>
        <v>2.9499999999999975</v>
      </c>
      <c r="F83" s="25">
        <f>$F82+Dt*(10-2*$F82-5*$G82)</f>
        <v>-3.1984350866307784E-2</v>
      </c>
      <c r="G83" s="18">
        <f>G82+Dt*F82</f>
        <v>1.8727623842745953</v>
      </c>
      <c r="H83" s="6"/>
      <c r="I83" s="6"/>
      <c r="J83" s="6"/>
      <c r="K83" s="6"/>
      <c r="L83" s="6"/>
    </row>
    <row r="84" spans="1:12">
      <c r="A84" s="6"/>
      <c r="B84" s="6"/>
      <c r="C84" s="6"/>
      <c r="D84" s="7"/>
      <c r="E84" s="17">
        <f>E83+Dt</f>
        <v>2.9999999999999973</v>
      </c>
      <c r="F84" s="25">
        <f>$F83+Dt*(10-2*$F83-5*$G83)</f>
        <v>3.0234881516742057E-3</v>
      </c>
      <c r="G84" s="18">
        <f>G83+Dt*F83</f>
        <v>1.8711631667312798</v>
      </c>
      <c r="H84" s="6"/>
      <c r="I84" s="6"/>
      <c r="J84" s="6"/>
      <c r="K84" s="6"/>
      <c r="L84" s="6"/>
    </row>
    <row r="85" spans="1:12">
      <c r="A85" s="6"/>
      <c r="B85" s="6"/>
      <c r="C85" s="6"/>
      <c r="D85" s="7"/>
      <c r="E85" s="17">
        <f>E84+Dt</f>
        <v>3.0499999999999972</v>
      </c>
      <c r="F85" s="25">
        <f>$F84+Dt*(10-2*$F84-5*$G84)</f>
        <v>3.4930347653686827E-2</v>
      </c>
      <c r="G85" s="18">
        <f>G84+Dt*F84</f>
        <v>1.8713143411388635</v>
      </c>
      <c r="H85" s="6"/>
      <c r="I85" s="6"/>
      <c r="J85" s="6"/>
      <c r="K85" s="6"/>
      <c r="L85" s="6"/>
    </row>
    <row r="86" spans="1:12">
      <c r="A86" s="6"/>
      <c r="B86" s="6"/>
      <c r="C86" s="6"/>
      <c r="D86" s="7"/>
      <c r="E86" s="17">
        <f>E85+Dt</f>
        <v>3.099999999999997</v>
      </c>
      <c r="F86" s="25">
        <f>$F85+Dt*(10-2*$F85-5*$G85)</f>
        <v>6.3608727603602297E-2</v>
      </c>
      <c r="G86" s="18">
        <f>G85+Dt*F85</f>
        <v>1.8730608585215478</v>
      </c>
      <c r="H86" s="6"/>
      <c r="I86" s="6"/>
      <c r="J86" s="6"/>
      <c r="K86" s="6"/>
      <c r="L86" s="6"/>
    </row>
    <row r="87" spans="1:12">
      <c r="A87" s="6"/>
      <c r="B87" s="6"/>
      <c r="C87" s="6"/>
      <c r="D87" s="7"/>
      <c r="E87" s="17">
        <f>E86+Dt</f>
        <v>3.1499999999999968</v>
      </c>
      <c r="F87" s="25">
        <f>$F86+Dt*(10-2*$F86-5*$G86)</f>
        <v>8.8982640212855096E-2</v>
      </c>
      <c r="G87" s="18">
        <f>G86+Dt*F86</f>
        <v>1.876241294901728</v>
      </c>
      <c r="H87" s="6"/>
      <c r="I87" s="6"/>
      <c r="J87" s="6"/>
      <c r="K87" s="6"/>
      <c r="L87" s="6"/>
    </row>
    <row r="88" spans="1:12">
      <c r="A88" s="6"/>
      <c r="B88" s="6"/>
      <c r="C88" s="6"/>
      <c r="D88" s="7"/>
      <c r="E88" s="17">
        <f>E87+Dt</f>
        <v>3.1999999999999966</v>
      </c>
      <c r="F88" s="25">
        <f>$F87+Dt*(10-2*$F87-5*$G87)</f>
        <v>0.11102405246613765</v>
      </c>
      <c r="G88" s="18">
        <f>G87+Dt*F87</f>
        <v>1.8806904269123708</v>
      </c>
      <c r="H88" s="6"/>
      <c r="I88" s="6"/>
      <c r="J88" s="6"/>
      <c r="K88" s="6"/>
      <c r="L88" s="6"/>
    </row>
    <row r="89" spans="1:12">
      <c r="A89" s="6"/>
      <c r="B89" s="6"/>
      <c r="C89" s="6"/>
      <c r="D89" s="7"/>
      <c r="E89" s="17">
        <f>E88+Dt</f>
        <v>3.2499999999999964</v>
      </c>
      <c r="F89" s="25">
        <f>$F88+Dt*(10-2*$F88-5*$G88)</f>
        <v>0.12974904049143124</v>
      </c>
      <c r="G89" s="18">
        <f>G88+Dt*F88</f>
        <v>1.8862416295356776</v>
      </c>
      <c r="H89" s="6"/>
      <c r="I89" s="6"/>
      <c r="J89" s="6"/>
      <c r="K89" s="6"/>
      <c r="L89" s="6"/>
    </row>
    <row r="90" spans="1:12">
      <c r="A90" s="6"/>
      <c r="B90" s="6"/>
      <c r="C90" s="6"/>
      <c r="D90" s="7"/>
      <c r="E90" s="17">
        <f>E89+Dt</f>
        <v>3.2999999999999963</v>
      </c>
      <c r="F90" s="25">
        <f>$F89+Dt*(10-2*$F89-5*$G89)</f>
        <v>0.14521372905836871</v>
      </c>
      <c r="G90" s="18">
        <f>G89+Dt*F89</f>
        <v>1.8927290815602491</v>
      </c>
      <c r="H90" s="6"/>
      <c r="I90" s="6"/>
      <c r="J90" s="6"/>
      <c r="K90" s="6"/>
      <c r="L90" s="6"/>
    </row>
    <row r="91" spans="1:12">
      <c r="A91" s="6"/>
      <c r="B91" s="6"/>
      <c r="C91" s="6"/>
      <c r="D91" s="7"/>
      <c r="E91" s="17">
        <f>E90+Dt</f>
        <v>3.3499999999999961</v>
      </c>
      <c r="F91" s="25">
        <f>$F90+Dt*(10-2*$F90-5*$G90)</f>
        <v>0.15751008576246964</v>
      </c>
      <c r="G91" s="18">
        <f>G90+Dt*F90</f>
        <v>1.8999897680131674</v>
      </c>
      <c r="H91" s="6"/>
      <c r="I91" s="6"/>
      <c r="J91" s="6"/>
      <c r="K91" s="6"/>
      <c r="L91" s="6"/>
    </row>
    <row r="92" spans="1:12">
      <c r="A92" s="6"/>
      <c r="B92" s="6"/>
      <c r="C92" s="6"/>
      <c r="D92" s="7"/>
      <c r="E92" s="17">
        <f>E91+Dt</f>
        <v>3.3999999999999959</v>
      </c>
      <c r="F92" s="25">
        <f>$F91+Dt*(10-2*$F91-5*$G91)</f>
        <v>0.16676163518293083</v>
      </c>
      <c r="G92" s="18">
        <f>G91+Dt*F91</f>
        <v>1.907865272301291</v>
      </c>
      <c r="H92" s="6"/>
      <c r="I92" s="6"/>
      <c r="J92" s="6"/>
      <c r="K92" s="6"/>
      <c r="L92" s="6"/>
    </row>
    <row r="93" spans="1:12">
      <c r="A93" s="6"/>
      <c r="B93" s="6"/>
      <c r="C93" s="6"/>
      <c r="D93" s="7"/>
      <c r="E93" s="17">
        <f>E92+Dt</f>
        <v>3.4499999999999957</v>
      </c>
      <c r="F93" s="25">
        <f>$F92+Dt*(10-2*$F92-5*$G92)</f>
        <v>0.17311915358931509</v>
      </c>
      <c r="G93" s="18">
        <f>G92+Dt*F92</f>
        <v>1.9162033540604375</v>
      </c>
      <c r="H93" s="6"/>
      <c r="I93" s="6"/>
      <c r="J93" s="6"/>
      <c r="K93" s="6"/>
      <c r="L93" s="6"/>
    </row>
    <row r="94" spans="1:12">
      <c r="A94" s="6"/>
      <c r="B94" s="6"/>
      <c r="C94" s="6"/>
      <c r="D94" s="7"/>
      <c r="E94" s="17">
        <f>E93+Dt</f>
        <v>3.4999999999999956</v>
      </c>
      <c r="F94" s="25">
        <f>$F93+Dt*(10-2*$F93-5*$G93)</f>
        <v>0.17675639971527415</v>
      </c>
      <c r="G94" s="18">
        <f>G93+Dt*F93</f>
        <v>1.9248593117399033</v>
      </c>
      <c r="H94" s="6"/>
      <c r="I94" s="6"/>
      <c r="J94" s="6"/>
      <c r="K94" s="6"/>
      <c r="L94" s="6"/>
    </row>
    <row r="95" spans="1:12">
      <c r="A95" s="6"/>
      <c r="B95" s="6"/>
      <c r="C95" s="6"/>
      <c r="D95" s="7"/>
      <c r="E95" s="17">
        <f>E94+Dt</f>
        <v>3.5499999999999954</v>
      </c>
      <c r="F95" s="25">
        <f>$F94+Dt*(10-2*$F94-5*$G94)</f>
        <v>0.17786593180877092</v>
      </c>
      <c r="G95" s="18">
        <f>G94+Dt*F94</f>
        <v>1.933697131725667</v>
      </c>
      <c r="H95" s="6"/>
      <c r="I95" s="6"/>
      <c r="J95" s="6"/>
      <c r="K95" s="6"/>
      <c r="L95" s="6"/>
    </row>
    <row r="96" spans="1:12">
      <c r="A96" s="6"/>
      <c r="B96" s="6"/>
      <c r="C96" s="6"/>
      <c r="D96" s="7"/>
      <c r="E96" s="17">
        <f>E95+Dt</f>
        <v>3.5999999999999952</v>
      </c>
      <c r="F96" s="25">
        <f>$F95+Dt*(10-2*$F95-5*$G95)</f>
        <v>0.17665505569647708</v>
      </c>
      <c r="G96" s="18">
        <f>G95+Dt*F95</f>
        <v>1.9425904283161055</v>
      </c>
      <c r="H96" s="6"/>
      <c r="I96" s="6"/>
      <c r="J96" s="6"/>
      <c r="K96" s="6"/>
      <c r="L96" s="6"/>
    </row>
    <row r="97" spans="1:12">
      <c r="A97" s="6"/>
      <c r="B97" s="6"/>
      <c r="C97" s="6"/>
      <c r="D97" s="7"/>
      <c r="E97" s="17">
        <f>E96+Dt</f>
        <v>3.649999999999995</v>
      </c>
      <c r="F97" s="25">
        <f>$F96+Dt*(10-2*$F96-5*$G96)</f>
        <v>0.17334194304780295</v>
      </c>
      <c r="G97" s="18">
        <f>G96+Dt*F96</f>
        <v>1.9514231811009293</v>
      </c>
      <c r="H97" s="6"/>
      <c r="I97" s="6"/>
      <c r="J97" s="6"/>
      <c r="K97" s="6"/>
      <c r="L97" s="6"/>
    </row>
    <row r="98" spans="1:12">
      <c r="A98" s="6"/>
      <c r="B98" s="6"/>
      <c r="C98" s="6"/>
      <c r="D98" s="7"/>
      <c r="E98" s="17">
        <f>E97+Dt</f>
        <v>3.6999999999999948</v>
      </c>
      <c r="F98" s="25">
        <f>$F97+Dt*(10-2*$F97-5*$G97)</f>
        <v>0.16815195346779033</v>
      </c>
      <c r="G98" s="18">
        <f>G97+Dt*F97</f>
        <v>1.9600902782533194</v>
      </c>
      <c r="H98" s="6"/>
      <c r="I98" s="6"/>
      <c r="J98" s="6"/>
      <c r="K98" s="6"/>
      <c r="L98" s="6"/>
    </row>
    <row r="99" spans="1:12">
      <c r="A99" s="6"/>
      <c r="B99" s="6"/>
      <c r="C99" s="6"/>
      <c r="D99" s="7"/>
      <c r="E99" s="17">
        <f>E98+Dt</f>
        <v>3.7499999999999947</v>
      </c>
      <c r="F99" s="25">
        <f>$F98+Dt*(10-2*$F98-5*$G98)</f>
        <v>0.16131418855768148</v>
      </c>
      <c r="G99" s="18">
        <f>G98+Dt*F98</f>
        <v>1.9684978759267089</v>
      </c>
      <c r="H99" s="6"/>
      <c r="I99" s="6"/>
      <c r="J99" s="6"/>
      <c r="K99" s="6"/>
      <c r="L99" s="6"/>
    </row>
    <row r="100" spans="1:12">
      <c r="A100" s="6"/>
      <c r="B100" s="6"/>
      <c r="C100" s="6"/>
      <c r="D100" s="7"/>
      <c r="E100" s="17">
        <f>E99+Dt</f>
        <v>3.7999999999999945</v>
      </c>
      <c r="F100" s="25">
        <f>$F99+Dt*(10-2*$F99-5*$G99)</f>
        <v>0.1530583007202361</v>
      </c>
      <c r="G100" s="18">
        <f>G99+Dt*F99</f>
        <v>1.9765635853545929</v>
      </c>
      <c r="H100" s="6"/>
      <c r="I100" s="6"/>
      <c r="J100" s="6"/>
      <c r="K100" s="6"/>
      <c r="L100" s="6"/>
    </row>
    <row r="101" spans="1:12">
      <c r="A101" s="6"/>
      <c r="B101" s="6"/>
      <c r="C101" s="6"/>
      <c r="D101" s="7"/>
      <c r="E101" s="17">
        <f>E100+Dt</f>
        <v>3.8499999999999943</v>
      </c>
      <c r="F101" s="25">
        <f>$F100+Dt*(10-2*$F100-5*$G100)</f>
        <v>0.14361157430956425</v>
      </c>
      <c r="G101" s="18">
        <f>G100+Dt*F100</f>
        <v>1.9842165003906047</v>
      </c>
      <c r="H101" s="6"/>
      <c r="I101" s="6"/>
      <c r="J101" s="6"/>
      <c r="K101" s="6"/>
      <c r="L101" s="6"/>
    </row>
    <row r="102" spans="1:12">
      <c r="A102" s="6"/>
      <c r="B102" s="6"/>
      <c r="C102" s="6"/>
      <c r="D102" s="7"/>
      <c r="E102" s="17">
        <f>E101+Dt</f>
        <v>3.8999999999999941</v>
      </c>
      <c r="F102" s="25">
        <f>$F101+Dt*(10-2*$F101-5*$G101)</f>
        <v>0.13319629178095665</v>
      </c>
      <c r="G102" s="18">
        <f>G101+Dt*F101</f>
        <v>1.9913970791060829</v>
      </c>
      <c r="H102" s="6"/>
      <c r="I102" s="6"/>
      <c r="J102" s="6"/>
      <c r="K102" s="6"/>
      <c r="L102" s="6"/>
    </row>
    <row r="103" spans="1:12">
      <c r="A103" s="6"/>
      <c r="B103" s="6"/>
      <c r="C103" s="6"/>
      <c r="D103" s="7"/>
      <c r="E103" s="17">
        <f>E102+Dt</f>
        <v>3.949999999999994</v>
      </c>
      <c r="F103" s="25">
        <f>$F102+Dt*(10-2*$F102-5*$G102)</f>
        <v>0.12202739282634024</v>
      </c>
      <c r="G103" s="18">
        <f>G102+Dt*F102</f>
        <v>1.9980568936951306</v>
      </c>
      <c r="H103" s="6"/>
      <c r="I103" s="6"/>
      <c r="J103" s="6"/>
      <c r="K103" s="6"/>
      <c r="L103" s="6"/>
    </row>
    <row r="104" spans="1:12">
      <c r="A104" s="6"/>
      <c r="B104" s="6"/>
      <c r="C104" s="6"/>
      <c r="D104" s="7"/>
      <c r="E104" s="17">
        <f>E103+Dt</f>
        <v>3.9999999999999938</v>
      </c>
      <c r="F104" s="25">
        <f>$F103+Dt*(10-2*$F103-5*$G103)</f>
        <v>0.1103104301199235</v>
      </c>
      <c r="G104" s="18">
        <f>G103+Dt*F103</f>
        <v>2.0041582633364476</v>
      </c>
      <c r="H104" s="6"/>
      <c r="I104" s="6"/>
      <c r="J104" s="6"/>
      <c r="K104" s="6"/>
      <c r="L104" s="6"/>
    </row>
    <row r="105" spans="1:12">
      <c r="A105" s="6"/>
      <c r="B105" s="6"/>
      <c r="C105" s="6"/>
      <c r="D105" s="7"/>
      <c r="E105" s="17">
        <f>E104+Dt</f>
        <v>4.0499999999999936</v>
      </c>
      <c r="F105" s="25">
        <f>$F104+Dt*(10-2*$F104-5*$G104)</f>
        <v>9.8239821273819194E-2</v>
      </c>
      <c r="G105" s="18">
        <f>G104+Dt*F104</f>
        <v>2.0096737848424437</v>
      </c>
      <c r="H105" s="6"/>
      <c r="I105" s="6"/>
      <c r="J105" s="6"/>
      <c r="K105" s="6"/>
      <c r="L105" s="6"/>
    </row>
    <row r="106" spans="1:12">
      <c r="A106" s="6"/>
      <c r="B106" s="6"/>
      <c r="C106" s="6"/>
      <c r="D106" s="7"/>
      <c r="E106" s="17">
        <f>E105+Dt</f>
        <v>4.0999999999999934</v>
      </c>
      <c r="F106" s="25">
        <f>$F105+Dt*(10-2*$F105-5*$G105)</f>
        <v>8.5997392935826297E-2</v>
      </c>
      <c r="G106" s="18">
        <f>G105+Dt*F105</f>
        <v>2.0145857759061347</v>
      </c>
      <c r="H106" s="6"/>
      <c r="I106" s="6"/>
      <c r="J106" s="6"/>
      <c r="K106" s="6"/>
      <c r="L106" s="6"/>
    </row>
    <row r="107" spans="1:12">
      <c r="A107" s="6"/>
      <c r="B107" s="6"/>
      <c r="C107" s="6"/>
      <c r="D107" s="7"/>
      <c r="E107" s="17">
        <f>E106+Dt</f>
        <v>4.1499999999999932</v>
      </c>
      <c r="F107" s="25">
        <f>$F106+Dt*(10-2*$F106-5*$G106)</f>
        <v>7.3751209665710027E-2</v>
      </c>
      <c r="G107" s="18">
        <f>G106+Dt*F106</f>
        <v>2.0188856455529263</v>
      </c>
      <c r="H107" s="6"/>
      <c r="I107" s="6"/>
      <c r="J107" s="6"/>
      <c r="K107" s="6"/>
      <c r="L107" s="6"/>
    </row>
    <row r="108" spans="1:12">
      <c r="A108" s="6"/>
      <c r="B108" s="6"/>
      <c r="C108" s="6"/>
      <c r="D108" s="7"/>
      <c r="E108" s="17">
        <f>E107+Dt</f>
        <v>4.1999999999999931</v>
      </c>
      <c r="F108" s="25">
        <f>$F107+Dt*(10-2*$F107-5*$G107)</f>
        <v>6.1654677310907458E-2</v>
      </c>
      <c r="G108" s="18">
        <f>G107+Dt*F107</f>
        <v>2.0225732060362116</v>
      </c>
      <c r="H108" s="6"/>
      <c r="I108" s="6"/>
      <c r="J108" s="6"/>
      <c r="K108" s="6"/>
      <c r="L108" s="6"/>
    </row>
    <row r="109" spans="1:12">
      <c r="A109" s="6"/>
      <c r="B109" s="6"/>
      <c r="C109" s="6"/>
      <c r="D109" s="7"/>
      <c r="E109" s="17">
        <f>E108+Dt</f>
        <v>4.2499999999999929</v>
      </c>
      <c r="F109" s="25">
        <f>$F108+Dt*(10-2*$F108-5*$G108)</f>
        <v>4.9845908070763792E-2</v>
      </c>
      <c r="G109" s="18">
        <f>G108+Dt*F108</f>
        <v>2.0256559399017569</v>
      </c>
      <c r="H109" s="6"/>
      <c r="I109" s="6"/>
      <c r="J109" s="6"/>
      <c r="K109" s="6"/>
      <c r="L109" s="6"/>
    </row>
    <row r="110" spans="1:12">
      <c r="A110" s="6"/>
      <c r="B110" s="6"/>
      <c r="C110" s="6"/>
      <c r="D110" s="7"/>
      <c r="E110" s="17">
        <f>E109+Dt</f>
        <v>4.2999999999999927</v>
      </c>
      <c r="F110" s="25">
        <f>$F109+Dt*(10-2*$F109-5*$G109)</f>
        <v>3.8447332288248197E-2</v>
      </c>
      <c r="G110" s="18">
        <f>G109+Dt*F109</f>
        <v>2.0281482353052951</v>
      </c>
      <c r="H110" s="6"/>
      <c r="I110" s="6"/>
      <c r="J110" s="6"/>
      <c r="K110" s="6"/>
      <c r="L110" s="6"/>
    </row>
    <row r="111" spans="1:12">
      <c r="A111" s="6"/>
      <c r="B111" s="6"/>
      <c r="C111" s="6"/>
      <c r="D111" s="7"/>
      <c r="E111" s="17">
        <f>E110+Dt</f>
        <v>4.3499999999999925</v>
      </c>
      <c r="F111" s="25">
        <f>$F110+Dt*(10-2*$F110-5*$G110)</f>
        <v>2.7565540233099609E-2</v>
      </c>
      <c r="G111" s="18">
        <f>G110+Dt*F110</f>
        <v>2.0300706019197077</v>
      </c>
      <c r="H111" s="6"/>
      <c r="I111" s="6"/>
      <c r="J111" s="6"/>
      <c r="K111" s="6"/>
      <c r="L111" s="6"/>
    </row>
    <row r="112" spans="1:12">
      <c r="A112" s="6"/>
      <c r="B112" s="6"/>
      <c r="C112" s="6"/>
      <c r="D112" s="7"/>
      <c r="E112" s="17">
        <f>E111+Dt</f>
        <v>4.3999999999999924</v>
      </c>
      <c r="F112" s="25">
        <f>$F111+Dt*(10-2*$F111-5*$G111)</f>
        <v>1.7291335729862793E-2</v>
      </c>
      <c r="G112" s="18">
        <f>G111+Dt*F111</f>
        <v>2.0314488789313625</v>
      </c>
      <c r="H112" s="6"/>
      <c r="I112" s="6"/>
      <c r="J112" s="6"/>
      <c r="K112" s="6"/>
      <c r="L112" s="6"/>
    </row>
    <row r="113" spans="1:12">
      <c r="A113" s="6"/>
      <c r="B113" s="6"/>
      <c r="C113" s="6"/>
      <c r="D113" s="7"/>
      <c r="E113" s="17">
        <f>E112+Dt</f>
        <v>4.4499999999999922</v>
      </c>
      <c r="F113" s="25">
        <f>$F112+Dt*(10-2*$F112-5*$G112)</f>
        <v>7.6999824240358925E-3</v>
      </c>
      <c r="G113" s="18">
        <f>G112+Dt*F112</f>
        <v>2.0323134457178558</v>
      </c>
      <c r="H113" s="6"/>
      <c r="I113" s="6"/>
      <c r="J113" s="6"/>
      <c r="K113" s="6"/>
      <c r="L113" s="6"/>
    </row>
    <row r="114" spans="1:12">
      <c r="A114" s="6"/>
      <c r="B114" s="6"/>
      <c r="C114" s="6"/>
      <c r="D114" s="7"/>
      <c r="E114" s="17">
        <f>E113+Dt</f>
        <v>4.499999999999992</v>
      </c>
      <c r="F114" s="25">
        <f>$F113+Dt*(10-2*$F113-5*$G113)</f>
        <v>-1.1483772478316535E-3</v>
      </c>
      <c r="G114" s="18">
        <f>G113+Dt*F113</f>
        <v>2.0326984448390575</v>
      </c>
      <c r="H114" s="6"/>
      <c r="I114" s="6"/>
      <c r="J114" s="6"/>
      <c r="K114" s="6"/>
      <c r="L114" s="6"/>
    </row>
    <row r="115" spans="1:12">
      <c r="A115" s="6"/>
      <c r="B115" s="6"/>
      <c r="C115" s="6"/>
      <c r="D115" s="7"/>
      <c r="E115" s="17">
        <f>E114+Dt</f>
        <v>4.5499999999999918</v>
      </c>
      <c r="F115" s="25">
        <f>$F114+Dt*(10-2*$F114-5*$G114)</f>
        <v>-9.2081507328128677E-3</v>
      </c>
      <c r="G115" s="18">
        <f>G114+Dt*F114</f>
        <v>2.0326410259766661</v>
      </c>
      <c r="H115" s="6"/>
      <c r="I115" s="6"/>
      <c r="J115" s="6"/>
      <c r="K115" s="6"/>
      <c r="L115" s="6"/>
    </row>
    <row r="116" spans="1:12">
      <c r="A116" s="6"/>
      <c r="B116" s="6"/>
      <c r="C116" s="6"/>
      <c r="D116" s="7"/>
      <c r="E116" s="17">
        <f>E115+Dt</f>
        <v>4.5999999999999917</v>
      </c>
      <c r="F116" s="25">
        <f>$F115+Dt*(10-2*$F115-5*$G115)</f>
        <v>-1.6447592153698086E-2</v>
      </c>
      <c r="G116" s="18">
        <f>G115+Dt*F115</f>
        <v>2.0321806184400253</v>
      </c>
      <c r="H116" s="6"/>
      <c r="I116" s="6"/>
      <c r="J116" s="6"/>
      <c r="K116" s="6"/>
      <c r="L116" s="6"/>
    </row>
    <row r="117" spans="1:12">
      <c r="A117" s="6"/>
      <c r="B117" s="6"/>
      <c r="C117" s="6"/>
      <c r="D117" s="7"/>
      <c r="E117" s="17">
        <f>E116+Dt</f>
        <v>4.6499999999999915</v>
      </c>
      <c r="F117" s="25">
        <f>$F116+Dt*(10-2*$F116-5*$G116)</f>
        <v>-2.284798754833459E-2</v>
      </c>
      <c r="G117" s="18">
        <f>G116+Dt*F116</f>
        <v>2.0313582388323406</v>
      </c>
      <c r="H117" s="6"/>
      <c r="I117" s="6"/>
      <c r="J117" s="6"/>
      <c r="K117" s="6"/>
      <c r="L117" s="6"/>
    </row>
    <row r="118" spans="1:12">
      <c r="A118" s="6"/>
      <c r="B118" s="6"/>
      <c r="C118" s="6"/>
      <c r="D118" s="7"/>
      <c r="E118" s="17">
        <f>E117+Dt</f>
        <v>4.6999999999999913</v>
      </c>
      <c r="F118" s="25">
        <f>$F117+Dt*(10-2*$F117-5*$G117)</f>
        <v>-2.8402748501586261E-2</v>
      </c>
      <c r="G118" s="18">
        <f>G117+Dt*F117</f>
        <v>2.0302158394549239</v>
      </c>
      <c r="H118" s="6"/>
      <c r="I118" s="6"/>
      <c r="J118" s="6"/>
      <c r="K118" s="6"/>
      <c r="L118" s="6"/>
    </row>
    <row r="119" spans="1:12">
      <c r="A119" s="6"/>
      <c r="B119" s="6"/>
      <c r="C119" s="6"/>
      <c r="D119" s="7"/>
      <c r="E119" s="17">
        <f>E118+Dt</f>
        <v>4.7499999999999911</v>
      </c>
      <c r="F119" s="25">
        <f>$F118+Dt*(10-2*$F118-5*$G118)</f>
        <v>-3.3116433515158625E-2</v>
      </c>
      <c r="G119" s="18">
        <f>G118+Dt*F118</f>
        <v>2.0287957020298446</v>
      </c>
      <c r="H119" s="6"/>
      <c r="I119" s="6"/>
      <c r="J119" s="6"/>
      <c r="K119" s="6"/>
      <c r="L119" s="6"/>
    </row>
    <row r="120" spans="1:12">
      <c r="A120" s="6"/>
      <c r="B120" s="6"/>
      <c r="C120" s="6"/>
      <c r="D120" s="7"/>
      <c r="E120" s="17">
        <f>E119+Dt</f>
        <v>4.7999999999999909</v>
      </c>
      <c r="F120" s="25">
        <f>$F119+Dt*(10-2*$F119-5*$G119)</f>
        <v>-3.7003715671103915E-2</v>
      </c>
      <c r="G120" s="18">
        <f>G119+Dt*F119</f>
        <v>2.0271398803540865</v>
      </c>
      <c r="H120" s="6"/>
      <c r="I120" s="6"/>
      <c r="J120" s="6"/>
      <c r="K120" s="6"/>
      <c r="L120" s="6"/>
    </row>
    <row r="121" spans="1:12">
      <c r="A121" s="6"/>
      <c r="B121" s="6"/>
      <c r="C121" s="6"/>
      <c r="D121" s="7"/>
      <c r="E121" s="17">
        <f>E120+Dt</f>
        <v>4.8499999999999908</v>
      </c>
      <c r="F121" s="25">
        <f>$F120+Dt*(10-2*$F120-5*$G120)</f>
        <v>-4.0088314192515143E-2</v>
      </c>
      <c r="G121" s="18">
        <f>G120+Dt*F120</f>
        <v>2.0252896945705312</v>
      </c>
      <c r="H121" s="6"/>
      <c r="I121" s="6"/>
      <c r="J121" s="6"/>
      <c r="K121" s="6"/>
      <c r="L121" s="6"/>
    </row>
    <row r="122" spans="1:12">
      <c r="A122" s="6"/>
      <c r="B122" s="6"/>
      <c r="C122" s="6"/>
      <c r="D122" s="7"/>
      <c r="E122" s="17">
        <f>E121+Dt</f>
        <v>4.8999999999999906</v>
      </c>
      <c r="F122" s="25">
        <f>$F121+Dt*(10-2*$F121-5*$G121)</f>
        <v>-4.2401906415896418E-2</v>
      </c>
      <c r="G122" s="18">
        <f>G121+Dt*F121</f>
        <v>2.0232852788609055</v>
      </c>
      <c r="H122" s="6"/>
      <c r="I122" s="6"/>
      <c r="J122" s="6"/>
      <c r="K122" s="6"/>
      <c r="L122" s="6"/>
    </row>
    <row r="123" spans="1:12">
      <c r="A123" s="6"/>
      <c r="B123" s="6"/>
      <c r="C123" s="6"/>
      <c r="D123" s="7"/>
      <c r="E123" s="17">
        <f>E122+Dt</f>
        <v>4.9499999999999904</v>
      </c>
      <c r="F123" s="25">
        <f>$F122+Dt*(10-2*$F122-5*$G122)</f>
        <v>-4.3983035489533182E-2</v>
      </c>
      <c r="G123" s="18">
        <f>G122+Dt*F122</f>
        <v>2.0211651835401105</v>
      </c>
      <c r="H123" s="6"/>
      <c r="I123" s="6"/>
      <c r="J123" s="6"/>
      <c r="K123" s="6"/>
      <c r="L123" s="6"/>
    </row>
    <row r="124" spans="1:12">
      <c r="A124" s="6"/>
      <c r="B124" s="6"/>
      <c r="C124" s="6"/>
      <c r="D124" s="7"/>
      <c r="E124" s="17">
        <f>E123+Dt</f>
        <v>4.9999999999999902</v>
      </c>
      <c r="F124" s="25">
        <f>$F123+Dt*(10-2*$F123-5*$G123)</f>
        <v>-4.487602782560754E-2</v>
      </c>
      <c r="G124" s="18">
        <f>G123+Dt*F123</f>
        <v>2.0189660317656339</v>
      </c>
      <c r="H124" s="6"/>
      <c r="I124" s="6"/>
      <c r="J124" s="6"/>
      <c r="K124" s="6"/>
      <c r="L124" s="6"/>
    </row>
    <row r="125" spans="1:12">
      <c r="A125" s="6"/>
      <c r="B125" s="6"/>
      <c r="C125" s="6"/>
      <c r="D125" s="7"/>
      <c r="E125" s="17">
        <f>E124+Dt</f>
        <v>5.0499999999999901</v>
      </c>
      <c r="F125" s="25">
        <f>$F124+Dt*(10-2*$F124-5*$G124)</f>
        <v>-4.5129932984455251E-2</v>
      </c>
      <c r="G125" s="18">
        <f>G124+Dt*F124</f>
        <v>2.0167222303743535</v>
      </c>
      <c r="H125" s="6"/>
      <c r="I125" s="6"/>
      <c r="J125" s="6"/>
      <c r="K125" s="6"/>
      <c r="L125" s="6"/>
    </row>
    <row r="126" spans="1:12">
      <c r="A126" s="6"/>
      <c r="B126" s="6"/>
      <c r="C126" s="6"/>
      <c r="D126" s="7"/>
      <c r="E126" s="17">
        <f>E125+Dt</f>
        <v>5.0999999999999899</v>
      </c>
      <c r="F126" s="25">
        <f>$F125+Dt*(10-2*$F125-5*$G125)</f>
        <v>-4.4797497279598128E-2</v>
      </c>
      <c r="G126" s="18">
        <f>G125+Dt*F125</f>
        <v>2.0144657337251308</v>
      </c>
      <c r="H126" s="6"/>
      <c r="I126" s="6"/>
      <c r="J126" s="6"/>
      <c r="K126" s="6"/>
      <c r="L126" s="6"/>
    </row>
    <row r="127" spans="1:12">
      <c r="A127" s="6"/>
      <c r="B127" s="6"/>
      <c r="C127" s="6"/>
      <c r="D127" s="7"/>
      <c r="E127" s="17">
        <f>E126+Dt</f>
        <v>5.1499999999999897</v>
      </c>
      <c r="F127" s="25">
        <f>$F126+Dt*(10-2*$F126-5*$G126)</f>
        <v>-4.3934180982921088E-2</v>
      </c>
      <c r="G127" s="18">
        <f>G126+Dt*F126</f>
        <v>2.012225858861151</v>
      </c>
      <c r="H127" s="6"/>
      <c r="I127" s="6"/>
      <c r="J127" s="6"/>
      <c r="K127" s="6"/>
      <c r="L127" s="6"/>
    </row>
    <row r="128" spans="1:12">
      <c r="A128" s="6"/>
      <c r="B128" s="6"/>
      <c r="C128" s="6"/>
      <c r="D128" s="7"/>
      <c r="E128" s="17">
        <f>E127+Dt</f>
        <v>5.1999999999999895</v>
      </c>
      <c r="F128" s="25">
        <f>$F127+Dt*(10-2*$F127-5*$G127)</f>
        <v>-4.2597227599916673E-2</v>
      </c>
      <c r="G128" s="18">
        <f>G127+Dt*F127</f>
        <v>2.0100291498120049</v>
      </c>
      <c r="H128" s="6"/>
      <c r="I128" s="6"/>
      <c r="J128" s="6"/>
      <c r="K128" s="6"/>
      <c r="L128" s="6"/>
    </row>
    <row r="129" spans="1:12">
      <c r="A129" s="6"/>
      <c r="B129" s="6"/>
      <c r="C129" s="6"/>
      <c r="D129" s="7"/>
      <c r="E129" s="17">
        <f>E128+Dt</f>
        <v>5.2499999999999893</v>
      </c>
      <c r="F129" s="25">
        <f>$F128+Dt*(10-2*$F128-5*$G128)</f>
        <v>-4.0844792292926285E-2</v>
      </c>
      <c r="G129" s="18">
        <f>G128+Dt*F128</f>
        <v>2.007899288432009</v>
      </c>
      <c r="H129" s="6"/>
      <c r="I129" s="6"/>
      <c r="J129" s="6"/>
      <c r="K129" s="6"/>
      <c r="L129" s="6"/>
    </row>
    <row r="130" spans="1:12">
      <c r="A130" s="6"/>
      <c r="B130" s="6"/>
      <c r="C130" s="6"/>
      <c r="D130" s="7"/>
      <c r="E130" s="17">
        <f>E129+Dt</f>
        <v>5.2999999999999892</v>
      </c>
      <c r="F130" s="25">
        <f>$F129+Dt*(10-2*$F129-5*$G129)</f>
        <v>-3.8735135171635918E-2</v>
      </c>
      <c r="G130" s="18">
        <f>G129+Dt*F129</f>
        <v>2.0058570488173628</v>
      </c>
      <c r="H130" s="6"/>
      <c r="I130" s="6"/>
      <c r="J130" s="6"/>
      <c r="K130" s="6"/>
      <c r="L130" s="6"/>
    </row>
    <row r="131" spans="1:12">
      <c r="A131" s="6"/>
      <c r="B131" s="6"/>
      <c r="C131" s="6"/>
      <c r="D131" s="7"/>
      <c r="E131" s="17">
        <f>E130+Dt</f>
        <v>5.349999999999989</v>
      </c>
      <c r="F131" s="25">
        <f>$F130+Dt*(10-2*$F130-5*$G130)</f>
        <v>-3.6325883858813079E-2</v>
      </c>
      <c r="G131" s="18">
        <f>G130+Dt*F130</f>
        <v>2.0039202920587811</v>
      </c>
      <c r="H131" s="6"/>
      <c r="I131" s="6"/>
      <c r="J131" s="6"/>
      <c r="K131" s="6"/>
      <c r="L131" s="6"/>
    </row>
    <row r="132" spans="1:12">
      <c r="A132" s="6"/>
      <c r="B132" s="6"/>
      <c r="C132" s="6"/>
      <c r="D132" s="7"/>
      <c r="E132" s="17">
        <f>E131+Dt</f>
        <v>5.3999999999999888</v>
      </c>
      <c r="F132" s="25">
        <f>$F131+Dt*(10-2*$F131-5*$G131)</f>
        <v>-3.3673368487627031E-2</v>
      </c>
      <c r="G132" s="18">
        <f>G131+Dt*F131</f>
        <v>2.0021039978658406</v>
      </c>
      <c r="H132" s="6"/>
      <c r="I132" s="6"/>
      <c r="J132" s="6"/>
      <c r="K132" s="6"/>
      <c r="L132" s="6"/>
    </row>
    <row r="133" spans="1:12">
      <c r="A133" s="6"/>
      <c r="B133" s="6"/>
      <c r="C133" s="6"/>
      <c r="D133" s="7"/>
      <c r="E133" s="17">
        <f>E132+Dt</f>
        <v>5.4499999999999886</v>
      </c>
      <c r="F133" s="25">
        <f>$F132+Dt*(10-2*$F132-5*$G132)</f>
        <v>-3.0832031105324488E-2</v>
      </c>
      <c r="G133" s="18">
        <f>G132+Dt*F132</f>
        <v>2.0004203294414591</v>
      </c>
      <c r="H133" s="6"/>
      <c r="I133" s="6"/>
      <c r="J133" s="6"/>
      <c r="K133" s="6"/>
      <c r="L133" s="6"/>
    </row>
    <row r="134" spans="1:12">
      <c r="A134" s="6"/>
      <c r="B134" s="6"/>
      <c r="C134" s="6"/>
      <c r="D134" s="7"/>
      <c r="E134" s="17">
        <f>E133+Dt</f>
        <v>5.4999999999999885</v>
      </c>
      <c r="F134" s="25">
        <f>$F133+Dt*(10-2*$F133-5*$G133)</f>
        <v>-2.7853910355156788E-2</v>
      </c>
      <c r="G134" s="18">
        <f>G133+Dt*F133</f>
        <v>1.9988787278861928</v>
      </c>
      <c r="H134" s="6"/>
      <c r="I134" s="6"/>
      <c r="J134" s="6"/>
      <c r="K134" s="6"/>
      <c r="L134" s="6"/>
    </row>
    <row r="135" spans="1:12">
      <c r="A135" s="6"/>
      <c r="B135" s="6"/>
      <c r="C135" s="6"/>
      <c r="D135" s="7"/>
      <c r="E135" s="17">
        <f>E134+Dt</f>
        <v>5.5499999999999883</v>
      </c>
      <c r="F135" s="25">
        <f>$F134+Dt*(10-2*$F134-5*$G134)</f>
        <v>-2.4788201291189284E-2</v>
      </c>
      <c r="G135" s="18">
        <f>G134+Dt*F134</f>
        <v>1.9974860323684349</v>
      </c>
      <c r="H135" s="6"/>
      <c r="I135" s="6"/>
      <c r="J135" s="6"/>
      <c r="K135" s="6"/>
      <c r="L135" s="6"/>
    </row>
    <row r="136" spans="1:12">
      <c r="A136" s="6"/>
      <c r="B136" s="6"/>
      <c r="C136" s="6"/>
      <c r="D136" s="7"/>
      <c r="E136" s="17">
        <f>E135+Dt</f>
        <v>5.5999999999999881</v>
      </c>
      <c r="F136" s="25">
        <f>$F135+Dt*(10-2*$F135-5*$G135)</f>
        <v>-2.1680889254179127E-2</v>
      </c>
      <c r="G136" s="18">
        <f>G135+Dt*F135</f>
        <v>1.9962466223038755</v>
      </c>
      <c r="H136" s="6"/>
      <c r="I136" s="6"/>
      <c r="J136" s="6"/>
      <c r="K136" s="6"/>
      <c r="L136" s="6"/>
    </row>
    <row r="137" spans="1:12">
      <c r="A137" s="6"/>
      <c r="B137" s="6"/>
      <c r="C137" s="6"/>
      <c r="D137" s="7"/>
      <c r="E137" s="17">
        <f>E136+Dt</f>
        <v>5.6499999999999879</v>
      </c>
      <c r="F137" s="25">
        <f>$F136+Dt*(10-2*$F136-5*$G136)</f>
        <v>-1.8574455904730083E-2</v>
      </c>
      <c r="G137" s="18">
        <f>G136+Dt*F136</f>
        <v>1.9951625778411666</v>
      </c>
      <c r="H137" s="6"/>
      <c r="I137" s="6"/>
      <c r="J137" s="6"/>
      <c r="K137" s="6"/>
      <c r="L137" s="6"/>
    </row>
    <row r="138" spans="1:12">
      <c r="A138" s="6"/>
      <c r="B138" s="6"/>
      <c r="C138" s="6"/>
      <c r="D138" s="7"/>
      <c r="E138" s="17">
        <f>E137+Dt</f>
        <v>5.6999999999999877</v>
      </c>
      <c r="F138" s="25">
        <f>$F137+Dt*(10-2*$F137-5*$G137)</f>
        <v>-1.5507654774548765E-2</v>
      </c>
      <c r="G138" s="18">
        <f>G137+Dt*F137</f>
        <v>1.99423385504593</v>
      </c>
      <c r="H138" s="6"/>
      <c r="I138" s="6"/>
      <c r="J138" s="6"/>
      <c r="K138" s="6"/>
      <c r="L138" s="6"/>
    </row>
    <row r="139" spans="1:12">
      <c r="A139" s="6"/>
      <c r="B139" s="6"/>
      <c r="C139" s="6"/>
      <c r="D139" s="7"/>
      <c r="E139" s="17">
        <f>E138+Dt</f>
        <v>5.7499999999999876</v>
      </c>
      <c r="F139" s="25">
        <f>$F138+Dt*(10-2*$F138-5*$G138)</f>
        <v>-1.2515353058576408E-2</v>
      </c>
      <c r="G139" s="18">
        <f>G138+Dt*F138</f>
        <v>1.9934584723072026</v>
      </c>
      <c r="H139" s="6"/>
      <c r="I139" s="6"/>
      <c r="J139" s="6"/>
      <c r="K139" s="6"/>
      <c r="L139" s="6"/>
    </row>
    <row r="140" spans="1:12">
      <c r="A140" s="6"/>
      <c r="B140" s="6"/>
      <c r="C140" s="6"/>
      <c r="D140" s="7"/>
      <c r="E140" s="17">
        <f>E139+Dt</f>
        <v>5.7999999999999874</v>
      </c>
      <c r="F140" s="25">
        <f>$F139+Dt*(10-2*$F139-5*$G139)</f>
        <v>-9.6284358295194456E-3</v>
      </c>
      <c r="G140" s="18">
        <f>G139+Dt*F139</f>
        <v>1.9928327046542738</v>
      </c>
      <c r="H140" s="6"/>
      <c r="I140" s="6"/>
      <c r="J140" s="6"/>
      <c r="K140" s="6"/>
      <c r="L140" s="6"/>
    </row>
    <row r="141" spans="1:12">
      <c r="A141" s="6"/>
      <c r="B141" s="6"/>
      <c r="C141" s="6"/>
      <c r="D141" s="7"/>
      <c r="E141" s="17">
        <f>E140+Dt</f>
        <v>5.8499999999999872</v>
      </c>
      <c r="F141" s="25">
        <f>$F140+Dt*(10-2*$F140-5*$G140)</f>
        <v>-6.8737684101359397E-3</v>
      </c>
      <c r="G141" s="18">
        <f>G140+Dt*F140</f>
        <v>1.9923512828627978</v>
      </c>
      <c r="H141" s="6"/>
      <c r="I141" s="6"/>
      <c r="J141" s="6"/>
      <c r="K141" s="6"/>
      <c r="L141" s="6"/>
    </row>
    <row r="142" spans="1:12">
      <c r="A142" s="6"/>
      <c r="B142" s="6"/>
      <c r="C142" s="6"/>
      <c r="D142" s="7"/>
      <c r="E142" s="17">
        <f>E141+Dt</f>
        <v>5.899999999999987</v>
      </c>
      <c r="F142" s="25">
        <f>$F141+Dt*(10-2*$F141-5*$G141)</f>
        <v>-4.2742122848217663E-3</v>
      </c>
      <c r="G142" s="18">
        <f>G141+Dt*F141</f>
        <v>1.992007594442291</v>
      </c>
      <c r="H142" s="6"/>
      <c r="I142" s="6"/>
      <c r="J142" s="6"/>
      <c r="K142" s="6"/>
      <c r="L142" s="6"/>
    </row>
    <row r="143" spans="1:12">
      <c r="A143" s="6"/>
      <c r="B143" s="6"/>
      <c r="C143" s="6"/>
      <c r="D143" s="7"/>
      <c r="E143" s="17">
        <f>E142+Dt</f>
        <v>5.9499999999999869</v>
      </c>
      <c r="F143" s="25">
        <f>$F142+Dt*(10-2*$F142-5*$G142)</f>
        <v>-1.8486896669124291E-3</v>
      </c>
      <c r="G143" s="18">
        <f>G142+Dt*F142</f>
        <v>1.99179388382805</v>
      </c>
      <c r="H143" s="6"/>
      <c r="I143" s="6"/>
      <c r="J143" s="6"/>
      <c r="K143" s="6"/>
      <c r="L143" s="6"/>
    </row>
    <row r="144" spans="1:12">
      <c r="A144" s="6"/>
      <c r="B144" s="6"/>
      <c r="C144" s="6"/>
      <c r="D144" s="7"/>
      <c r="E144" s="17">
        <f>E143+Dt</f>
        <v>5.9999999999999867</v>
      </c>
      <c r="F144" s="25">
        <f>$F143+Dt*(10-2*$F143-5*$G143)</f>
        <v>3.8770834276637915E-4</v>
      </c>
      <c r="G144" s="18">
        <f>G143+Dt*F143</f>
        <v>1.9917014493447043</v>
      </c>
      <c r="H144" s="6"/>
      <c r="I144" s="6"/>
      <c r="J144" s="6"/>
      <c r="K144" s="6"/>
      <c r="L144" s="6"/>
    </row>
    <row r="145" spans="1:12">
      <c r="A145" s="6"/>
      <c r="B145" s="6"/>
      <c r="C145" s="6"/>
      <c r="D145" s="7"/>
      <c r="E145" s="17">
        <f>E144+Dt</f>
        <v>6.0499999999999865</v>
      </c>
      <c r="F145" s="25">
        <f>$F144+Dt*(10-2*$F144-5*$G144)</f>
        <v>2.4235751723136853E-3</v>
      </c>
      <c r="G145" s="18">
        <f>G144+Dt*F144</f>
        <v>1.9917208347618427</v>
      </c>
      <c r="H145" s="6"/>
      <c r="I145" s="6"/>
      <c r="J145" s="6"/>
      <c r="K145" s="6"/>
      <c r="L145" s="6"/>
    </row>
    <row r="146" spans="1:12">
      <c r="A146" s="6"/>
      <c r="B146" s="6"/>
      <c r="C146" s="6"/>
      <c r="D146" s="7"/>
      <c r="E146" s="17">
        <f>E145+Dt</f>
        <v>6.0999999999999863</v>
      </c>
      <c r="F146" s="25">
        <f>$F145+Dt*(10-2*$F145-5*$G145)</f>
        <v>4.2510089646216496E-3</v>
      </c>
      <c r="G146" s="18">
        <f>G145+Dt*F145</f>
        <v>1.9918420135204584</v>
      </c>
      <c r="H146" s="6"/>
      <c r="I146" s="6"/>
      <c r="J146" s="6"/>
      <c r="K146" s="6"/>
      <c r="L146" s="6"/>
    </row>
    <row r="147" spans="1:12">
      <c r="A147" s="6"/>
      <c r="B147" s="6"/>
      <c r="C147" s="6"/>
      <c r="D147" s="7"/>
      <c r="E147" s="17">
        <f>E146+Dt</f>
        <v>6.1499999999999861</v>
      </c>
      <c r="F147" s="25">
        <f>$F146+Dt*(10-2*$F146-5*$G146)</f>
        <v>5.8654046880448393E-3</v>
      </c>
      <c r="G147" s="18">
        <f>G146+Dt*F146</f>
        <v>1.9920545639686895</v>
      </c>
      <c r="H147" s="6"/>
      <c r="I147" s="6"/>
      <c r="J147" s="6"/>
      <c r="K147" s="6"/>
      <c r="L147" s="6"/>
    </row>
    <row r="148" spans="1:12">
      <c r="A148" s="6"/>
      <c r="B148" s="6"/>
      <c r="C148" s="6"/>
      <c r="D148" s="7"/>
      <c r="E148" s="17">
        <f>E147+Dt</f>
        <v>6.199999999999986</v>
      </c>
      <c r="F148" s="25">
        <f>$F147+Dt*(10-2*$F147-5*$G147)</f>
        <v>7.2652232270679516E-3</v>
      </c>
      <c r="G148" s="18">
        <f>G147+Dt*F147</f>
        <v>1.9923478342030918</v>
      </c>
      <c r="H148" s="6"/>
      <c r="I148" s="6"/>
      <c r="J148" s="6"/>
      <c r="K148" s="6"/>
      <c r="L148" s="6"/>
    </row>
    <row r="149" spans="1:12">
      <c r="A149" s="6"/>
      <c r="B149" s="6"/>
      <c r="C149" s="6"/>
      <c r="D149" s="7"/>
      <c r="E149" s="17">
        <f>E148+Dt</f>
        <v>6.2499999999999858</v>
      </c>
      <c r="F149" s="25">
        <f>$F148+Dt*(10-2*$F148-5*$G148)</f>
        <v>8.4517423535881656E-3</v>
      </c>
      <c r="G149" s="18">
        <f>G148+Dt*F148</f>
        <v>1.9927110953644451</v>
      </c>
      <c r="H149" s="6"/>
      <c r="I149" s="6"/>
      <c r="J149" s="6"/>
      <c r="K149" s="6"/>
      <c r="L149" s="6"/>
    </row>
    <row r="150" spans="1:12">
      <c r="A150" s="6"/>
      <c r="B150" s="6"/>
      <c r="C150" s="6"/>
      <c r="D150" s="7"/>
      <c r="E150" s="17">
        <f>E149+Dt</f>
        <v>6.2999999999999856</v>
      </c>
      <c r="F150" s="25">
        <f>$F149+Dt*(10-2*$F149-5*$G149)</f>
        <v>9.4287942771180463E-3</v>
      </c>
      <c r="G150" s="18">
        <f>G149+Dt*F149</f>
        <v>1.9931336824821246</v>
      </c>
      <c r="H150" s="6"/>
      <c r="I150" s="6"/>
      <c r="J150" s="6"/>
      <c r="K150" s="6"/>
      <c r="L150" s="6"/>
    </row>
    <row r="151" spans="1:12">
      <c r="A151" s="6"/>
      <c r="B151" s="6"/>
      <c r="C151" s="6"/>
      <c r="D151" s="7"/>
      <c r="E151" s="17">
        <f>E150+Dt</f>
        <v>6.3499999999999854</v>
      </c>
      <c r="F151" s="25">
        <f>$F150+Dt*(10-2*$F150-5*$G150)</f>
        <v>1.0202494228875092E-2</v>
      </c>
      <c r="G151" s="18">
        <f>G150+Dt*F150</f>
        <v>1.9936051221959805</v>
      </c>
      <c r="H151" s="6"/>
      <c r="I151" s="6"/>
      <c r="J151" s="6"/>
      <c r="K151" s="6"/>
      <c r="L151" s="6"/>
    </row>
    <row r="152" spans="1:12">
      <c r="A152" s="6"/>
      <c r="B152" s="6"/>
      <c r="C152" s="6"/>
      <c r="D152" s="7"/>
      <c r="E152" s="17">
        <f>E151+Dt</f>
        <v>6.3999999999999853</v>
      </c>
      <c r="F152" s="25">
        <f>$F151+Dt*(10-2*$F151-5*$G151)</f>
        <v>1.0780964256992464E-2</v>
      </c>
      <c r="G152" s="18">
        <f>G151+Dt*F151</f>
        <v>1.9941152469074244</v>
      </c>
      <c r="H152" s="6"/>
      <c r="I152" s="6"/>
      <c r="J152" s="6"/>
      <c r="K152" s="6"/>
      <c r="L152" s="6"/>
    </row>
    <row r="153" spans="1:12">
      <c r="A153" s="6"/>
      <c r="B153" s="6"/>
      <c r="C153" s="6"/>
      <c r="D153" s="7"/>
      <c r="E153" s="17">
        <f>E152+Dt</f>
        <v>6.4499999999999851</v>
      </c>
      <c r="F153" s="25">
        <f>$F152+Dt*(10-2*$F152-5*$G152)</f>
        <v>1.1174056104437179E-2</v>
      </c>
      <c r="G153" s="18">
        <f>G152+Dt*F152</f>
        <v>1.9946542951202739</v>
      </c>
      <c r="H153" s="6"/>
      <c r="I153" s="6"/>
      <c r="J153" s="6"/>
      <c r="K153" s="6"/>
      <c r="L153" s="6"/>
    </row>
    <row r="154" spans="1:12">
      <c r="A154" s="6"/>
      <c r="B154" s="6"/>
      <c r="C154" s="6"/>
      <c r="D154" s="7"/>
      <c r="E154" s="17">
        <f>E153+Dt</f>
        <v>6.4999999999999849</v>
      </c>
      <c r="F154" s="25">
        <f>$F153+Dt*(10-2*$F153-5*$G153)</f>
        <v>1.1393076713924954E-2</v>
      </c>
      <c r="G154" s="18">
        <f>G153+Dt*F153</f>
        <v>1.9952129979254958</v>
      </c>
      <c r="H154" s="6"/>
      <c r="I154" s="6"/>
      <c r="J154" s="6"/>
      <c r="K154" s="6"/>
      <c r="L154" s="6"/>
    </row>
    <row r="155" spans="1:12">
      <c r="A155" s="6"/>
      <c r="B155" s="6"/>
      <c r="C155" s="6"/>
      <c r="D155" s="7"/>
      <c r="E155" s="17">
        <f>E154+Dt</f>
        <v>6.5499999999999847</v>
      </c>
      <c r="F155" s="25">
        <f>$F154+Dt*(10-2*$F154-5*$G154)</f>
        <v>1.1450519561158478E-2</v>
      </c>
      <c r="G155" s="18">
        <f>G154+Dt*F154</f>
        <v>1.9957826517611921</v>
      </c>
      <c r="H155" s="6"/>
      <c r="I155" s="6"/>
      <c r="J155" s="6"/>
      <c r="K155" s="6"/>
      <c r="L155" s="6"/>
    </row>
    <row r="156" spans="1:12">
      <c r="A156" s="6"/>
      <c r="B156" s="6"/>
      <c r="C156" s="6"/>
      <c r="D156" s="7"/>
      <c r="E156" s="17">
        <f>E155+Dt</f>
        <v>6.5999999999999845</v>
      </c>
      <c r="F156" s="25">
        <f>$F155+Dt*(10-2*$F155-5*$G155)</f>
        <v>1.1359804664744622E-2</v>
      </c>
      <c r="G156" s="18">
        <f>G155+Dt*F155</f>
        <v>1.9963551777392501</v>
      </c>
      <c r="H156" s="6"/>
      <c r="I156" s="6"/>
      <c r="J156" s="6"/>
      <c r="K156" s="6"/>
      <c r="L156" s="6"/>
    </row>
    <row r="157" spans="1:12">
      <c r="A157" s="6"/>
      <c r="B157" s="6"/>
      <c r="C157" s="6"/>
      <c r="D157" s="7"/>
      <c r="E157" s="17">
        <f>E156+Dt</f>
        <v>6.6499999999999844</v>
      </c>
      <c r="F157" s="25">
        <f>$F156+Dt*(10-2*$F156-5*$G156)</f>
        <v>1.1135029763457704E-2</v>
      </c>
      <c r="G157" s="18">
        <f>G156+Dt*F156</f>
        <v>1.9969231679724873</v>
      </c>
      <c r="H157" s="6"/>
      <c r="I157" s="6"/>
      <c r="J157" s="6"/>
      <c r="K157" s="6"/>
      <c r="L157" s="6"/>
    </row>
    <row r="158" spans="1:12">
      <c r="A158" s="6"/>
      <c r="B158" s="6"/>
      <c r="C158" s="6"/>
      <c r="D158" s="7"/>
      <c r="E158" s="17">
        <f>E157+Dt</f>
        <v>6.6999999999999842</v>
      </c>
      <c r="F158" s="25">
        <f>$F157+Dt*(10-2*$F157-5*$G157)</f>
        <v>1.0790734793990153E-2</v>
      </c>
      <c r="G158" s="18">
        <f>G157+Dt*F157</f>
        <v>1.9974799194606601</v>
      </c>
      <c r="H158" s="6"/>
      <c r="I158" s="6"/>
      <c r="J158" s="6"/>
      <c r="K158" s="6"/>
      <c r="L158" s="6"/>
    </row>
    <row r="159" spans="1:12">
      <c r="A159" s="6"/>
      <c r="B159" s="6"/>
      <c r="C159" s="6"/>
      <c r="D159" s="7"/>
      <c r="E159" s="17">
        <f>E158+Dt</f>
        <v>6.749999999999984</v>
      </c>
      <c r="F159" s="25">
        <f>$F158+Dt*(10-2*$F158-5*$G158)</f>
        <v>1.0341681449426132E-2</v>
      </c>
      <c r="G159" s="18">
        <f>G158+Dt*F158</f>
        <v>1.9980194562003595</v>
      </c>
      <c r="H159" s="6"/>
      <c r="I159" s="6"/>
      <c r="J159" s="6"/>
      <c r="K159" s="6"/>
      <c r="L159" s="6"/>
    </row>
    <row r="160" spans="1:12">
      <c r="A160" s="6"/>
      <c r="B160" s="6"/>
      <c r="C160" s="6"/>
      <c r="D160" s="7"/>
      <c r="E160" s="17">
        <f>E159+Dt</f>
        <v>6.7999999999999838</v>
      </c>
      <c r="F160" s="25">
        <f>$F159+Dt*(10-2*$F159-5*$G159)</f>
        <v>9.8026492543936018E-3</v>
      </c>
      <c r="G160" s="18">
        <f>G159+Dt*F159</f>
        <v>1.9985365402728308</v>
      </c>
      <c r="H160" s="6"/>
      <c r="I160" s="6"/>
      <c r="J160" s="6"/>
      <c r="K160" s="6"/>
      <c r="L160" s="6"/>
    </row>
    <row r="161" spans="1:12">
      <c r="A161" s="6"/>
      <c r="B161" s="6"/>
      <c r="C161" s="6"/>
      <c r="D161" s="7"/>
      <c r="E161" s="17">
        <f>E160+Dt</f>
        <v>6.8499999999999837</v>
      </c>
      <c r="F161" s="25">
        <f>$F160+Dt*(10-2*$F160-5*$G160)</f>
        <v>9.1882492607464825E-3</v>
      </c>
      <c r="G161" s="18">
        <f>G160+Dt*F160</f>
        <v>1.9990266727355506</v>
      </c>
      <c r="H161" s="6"/>
      <c r="I161" s="6"/>
      <c r="J161" s="6"/>
      <c r="K161" s="6"/>
      <c r="L161" s="6"/>
    </row>
    <row r="162" spans="1:12">
      <c r="A162" s="6"/>
      <c r="B162" s="6"/>
      <c r="C162" s="6"/>
      <c r="D162" s="7"/>
      <c r="E162" s="17">
        <f>E161+Dt</f>
        <v>6.8999999999999835</v>
      </c>
      <c r="F162" s="25">
        <f>$F161+Dt*(10-2*$F161-5*$G161)</f>
        <v>8.5127561507842599E-3</v>
      </c>
      <c r="G162" s="18">
        <f>G161+Dt*F161</f>
        <v>1.9994860851985878</v>
      </c>
      <c r="H162" s="6"/>
      <c r="I162" s="6"/>
      <c r="J162" s="6"/>
      <c r="K162" s="6"/>
      <c r="L162" s="6"/>
    </row>
    <row r="163" spans="1:12">
      <c r="A163" s="6"/>
      <c r="B163" s="6"/>
      <c r="C163" s="6"/>
      <c r="D163" s="7"/>
      <c r="E163" s="17">
        <f>E162+Dt</f>
        <v>6.9499999999999833</v>
      </c>
      <c r="F163" s="25">
        <f>$F162+Dt*(10-2*$F162-5*$G162)</f>
        <v>7.7899592360589163E-3</v>
      </c>
      <c r="G163" s="18">
        <f>G162+Dt*F162</f>
        <v>1.999911723006127</v>
      </c>
      <c r="H163" s="6"/>
      <c r="I163" s="6"/>
      <c r="J163" s="6"/>
      <c r="K163" s="6"/>
      <c r="L163" s="6"/>
    </row>
    <row r="164" spans="1:12">
      <c r="A164" s="6"/>
      <c r="B164" s="6"/>
      <c r="C164" s="6"/>
      <c r="D164" s="7"/>
      <c r="E164" s="19">
        <f>E163+Dt</f>
        <v>6.9999999999999831</v>
      </c>
      <c r="F164" s="26">
        <f>$F163+Dt*(10-2*$F163-5*$G163)</f>
        <v>7.0330325609212459E-3</v>
      </c>
      <c r="G164" s="20">
        <f>G163+Dt*F163</f>
        <v>2.0003012209679301</v>
      </c>
      <c r="H164" s="6"/>
      <c r="I164" s="6"/>
      <c r="J164" s="6"/>
      <c r="K164" s="6"/>
      <c r="L164" s="6"/>
    </row>
    <row r="165" spans="1:12">
      <c r="A165" s="6"/>
      <c r="B165" s="6"/>
      <c r="C165" s="6"/>
      <c r="D165" s="7"/>
      <c r="E165" s="6"/>
      <c r="F165" s="6"/>
      <c r="G165" s="8"/>
      <c r="H165" s="6"/>
      <c r="I165" s="6"/>
      <c r="J165" s="6"/>
      <c r="K165" s="6"/>
      <c r="L165" s="6"/>
    </row>
    <row r="166" spans="1:12">
      <c r="A166" s="6"/>
      <c r="B166" s="6"/>
      <c r="C166" s="6"/>
      <c r="D166" s="7"/>
      <c r="E166" s="6"/>
      <c r="F166" s="6"/>
      <c r="G166" s="8"/>
      <c r="H166" s="6"/>
      <c r="I166" s="6"/>
      <c r="J166" s="6"/>
      <c r="K166" s="6"/>
      <c r="L166" s="6"/>
    </row>
    <row r="167" spans="1:12">
      <c r="A167" s="6"/>
      <c r="B167" s="6"/>
      <c r="C167" s="6"/>
      <c r="D167" s="7"/>
      <c r="E167" s="6"/>
      <c r="F167" s="6"/>
      <c r="G167" s="8"/>
      <c r="H167" s="6"/>
      <c r="I167" s="6"/>
      <c r="J167" s="6"/>
      <c r="K167" s="6"/>
      <c r="L167" s="6"/>
    </row>
    <row r="168" spans="1:12">
      <c r="A168" s="6"/>
      <c r="B168" s="6"/>
      <c r="C168" s="6"/>
      <c r="D168" s="7"/>
      <c r="E168" s="6"/>
      <c r="F168" s="6"/>
      <c r="G168" s="8"/>
      <c r="H168" s="6"/>
      <c r="I168" s="6"/>
      <c r="J168" s="6"/>
      <c r="K168" s="6"/>
      <c r="L168" s="6"/>
    </row>
    <row r="169" spans="1:12">
      <c r="A169" s="6"/>
      <c r="B169" s="6"/>
      <c r="C169" s="6"/>
      <c r="D169" s="7"/>
      <c r="E169" s="6"/>
      <c r="F169" s="6"/>
      <c r="G169" s="8"/>
      <c r="H169" s="6"/>
      <c r="I169" s="6"/>
      <c r="J169" s="6"/>
      <c r="K169" s="6"/>
      <c r="L169" s="6"/>
    </row>
    <row r="170" spans="1:12">
      <c r="A170" s="6"/>
      <c r="B170" s="6"/>
      <c r="C170" s="6"/>
      <c r="D170" s="7"/>
      <c r="E170" s="6"/>
      <c r="F170" s="6"/>
      <c r="G170" s="8"/>
      <c r="H170" s="6"/>
      <c r="I170" s="6"/>
      <c r="J170" s="6"/>
      <c r="K170" s="6"/>
      <c r="L170" s="6"/>
    </row>
    <row r="171" spans="1:12">
      <c r="A171" s="6"/>
      <c r="B171" s="6"/>
      <c r="C171" s="6"/>
      <c r="D171" s="7"/>
      <c r="E171" s="6"/>
      <c r="F171" s="6"/>
      <c r="G171" s="8"/>
      <c r="H171" s="6"/>
      <c r="I171" s="6"/>
      <c r="J171" s="6"/>
      <c r="K171" s="6"/>
      <c r="L171" s="6"/>
    </row>
    <row r="172" spans="1:12">
      <c r="A172" s="6"/>
      <c r="B172" s="6"/>
      <c r="C172" s="6"/>
      <c r="D172" s="7"/>
      <c r="E172" s="6"/>
      <c r="F172" s="6"/>
      <c r="G172" s="8"/>
      <c r="H172" s="6"/>
      <c r="I172" s="6"/>
      <c r="J172" s="6"/>
      <c r="K172" s="6"/>
      <c r="L172" s="6"/>
    </row>
    <row r="173" spans="1:12">
      <c r="A173" s="6"/>
      <c r="B173" s="6"/>
      <c r="C173" s="6"/>
      <c r="D173" s="7"/>
      <c r="E173" s="6"/>
      <c r="F173" s="6"/>
      <c r="G173" s="8"/>
      <c r="H173" s="6"/>
      <c r="I173" s="6"/>
      <c r="J173" s="6"/>
      <c r="K173" s="6"/>
      <c r="L173" s="6"/>
    </row>
    <row r="174" spans="1:12">
      <c r="A174" s="6"/>
      <c r="B174" s="6"/>
      <c r="C174" s="6"/>
      <c r="D174" s="6"/>
      <c r="E174" s="6"/>
      <c r="F174" s="6"/>
      <c r="G174" s="8"/>
      <c r="H174" s="6"/>
      <c r="I174" s="6"/>
      <c r="J174" s="6"/>
      <c r="K174" s="6"/>
      <c r="L174" s="6"/>
    </row>
    <row r="175" spans="1:12">
      <c r="A175" s="6"/>
      <c r="B175" s="6"/>
      <c r="C175" s="6"/>
      <c r="D175" s="6"/>
      <c r="E175" s="6"/>
      <c r="F175" s="6"/>
      <c r="G175" s="8"/>
      <c r="H175" s="6"/>
      <c r="I175" s="6"/>
      <c r="J175" s="6"/>
      <c r="K175" s="6"/>
      <c r="L175" s="6"/>
    </row>
    <row r="176" spans="1:12">
      <c r="A176" s="6"/>
      <c r="B176" s="6"/>
      <c r="C176" s="6"/>
      <c r="D176" s="6"/>
      <c r="E176" s="6"/>
      <c r="F176" s="6"/>
      <c r="G176" s="8"/>
      <c r="H176" s="6"/>
      <c r="I176" s="6"/>
      <c r="J176" s="6"/>
      <c r="K176" s="6"/>
      <c r="L176" s="6"/>
    </row>
    <row r="177" spans="1:12">
      <c r="A177" s="6"/>
      <c r="B177" s="6"/>
      <c r="C177" s="6"/>
      <c r="D177" s="6"/>
      <c r="E177" s="6"/>
      <c r="F177" s="6"/>
      <c r="G177" s="8"/>
      <c r="H177" s="6"/>
      <c r="I177" s="6"/>
      <c r="J177" s="6"/>
      <c r="K177" s="6"/>
      <c r="L177" s="6"/>
    </row>
    <row r="178" spans="1:12">
      <c r="A178" s="6"/>
      <c r="B178" s="6"/>
      <c r="C178" s="6"/>
      <c r="D178" s="6"/>
      <c r="E178" s="6"/>
      <c r="F178" s="6"/>
      <c r="G178" s="8"/>
      <c r="H178" s="6"/>
      <c r="I178" s="6"/>
      <c r="J178" s="6"/>
      <c r="K178" s="6"/>
      <c r="L178" s="6"/>
    </row>
    <row r="179" spans="1:12">
      <c r="A179" s="6"/>
      <c r="B179" s="6"/>
      <c r="C179" s="6"/>
      <c r="D179" s="6"/>
      <c r="E179" s="6"/>
      <c r="F179" s="6"/>
      <c r="G179" s="8"/>
      <c r="H179" s="6"/>
      <c r="I179" s="6"/>
      <c r="J179" s="6"/>
      <c r="K179" s="6"/>
      <c r="L179" s="6"/>
    </row>
    <row r="180" spans="1:12">
      <c r="A180" s="6"/>
      <c r="B180" s="6"/>
      <c r="C180" s="6"/>
      <c r="D180" s="6"/>
      <c r="E180" s="6"/>
      <c r="F180" s="6"/>
      <c r="G180" s="8"/>
      <c r="H180" s="6"/>
      <c r="I180" s="6"/>
      <c r="J180" s="6"/>
      <c r="K180" s="6"/>
      <c r="L180" s="6"/>
    </row>
    <row r="181" spans="1:12">
      <c r="A181" s="6"/>
      <c r="B181" s="6"/>
      <c r="C181" s="6"/>
      <c r="D181" s="6"/>
      <c r="E181" s="6"/>
      <c r="F181" s="6"/>
      <c r="G181" s="8"/>
      <c r="H181" s="6"/>
      <c r="I181" s="6"/>
      <c r="J181" s="6"/>
      <c r="K181" s="6"/>
      <c r="L181" s="6"/>
    </row>
    <row r="182" spans="1:12">
      <c r="A182" s="6"/>
      <c r="B182" s="6"/>
      <c r="C182" s="6"/>
      <c r="D182" s="6"/>
      <c r="E182" s="6"/>
      <c r="F182" s="6"/>
      <c r="G182" s="8"/>
      <c r="H182" s="6"/>
      <c r="I182" s="6"/>
      <c r="J182" s="6"/>
      <c r="K182" s="6"/>
      <c r="L182" s="6"/>
    </row>
    <row r="183" spans="1:12">
      <c r="A183" s="6"/>
      <c r="B183" s="6"/>
      <c r="C183" s="6"/>
      <c r="D183" s="6"/>
      <c r="E183" s="6"/>
      <c r="F183" s="6"/>
      <c r="G183" s="8"/>
      <c r="H183" s="6"/>
      <c r="I183" s="6"/>
      <c r="J183" s="6"/>
      <c r="K183" s="6"/>
      <c r="L183" s="6"/>
    </row>
    <row r="184" spans="1:12">
      <c r="A184" s="6"/>
      <c r="B184" s="6"/>
      <c r="C184" s="6"/>
      <c r="D184" s="6"/>
      <c r="E184" s="6"/>
      <c r="F184" s="6"/>
      <c r="G184" s="8"/>
      <c r="H184" s="6"/>
      <c r="I184" s="6"/>
      <c r="J184" s="6"/>
      <c r="K184" s="6"/>
      <c r="L184" s="6"/>
    </row>
    <row r="185" spans="1:12">
      <c r="A185" s="6"/>
      <c r="B185" s="6"/>
      <c r="C185" s="6"/>
      <c r="D185" s="6"/>
      <c r="E185" s="6"/>
      <c r="F185" s="6"/>
      <c r="G185" s="8"/>
      <c r="H185" s="6"/>
      <c r="I185" s="6"/>
      <c r="J185" s="6"/>
      <c r="K185" s="6"/>
      <c r="L185" s="6"/>
    </row>
    <row r="186" spans="1:12">
      <c r="A186" s="6"/>
      <c r="B186" s="6"/>
      <c r="C186" s="6"/>
      <c r="D186" s="6"/>
      <c r="E186" s="6"/>
      <c r="F186" s="6"/>
      <c r="G186" s="8"/>
      <c r="H186" s="6"/>
      <c r="I186" s="6"/>
      <c r="J186" s="6"/>
      <c r="K186" s="6"/>
      <c r="L186" s="6"/>
    </row>
    <row r="187" spans="1:12">
      <c r="A187" s="6"/>
      <c r="B187" s="6"/>
      <c r="C187" s="6"/>
      <c r="D187" s="6"/>
      <c r="E187" s="6"/>
      <c r="F187" s="6"/>
      <c r="G187" s="8"/>
      <c r="H187" s="6"/>
      <c r="I187" s="6"/>
      <c r="J187" s="6"/>
      <c r="K187" s="6"/>
      <c r="L187" s="6"/>
    </row>
    <row r="188" spans="1:12">
      <c r="A188" s="6"/>
      <c r="B188" s="6"/>
      <c r="C188" s="6"/>
      <c r="D188" s="6"/>
      <c r="E188" s="6"/>
      <c r="F188" s="6"/>
      <c r="G188" s="8"/>
      <c r="H188" s="6"/>
      <c r="I188" s="6"/>
      <c r="J188" s="6"/>
      <c r="K188" s="6"/>
      <c r="L188" s="6"/>
    </row>
    <row r="189" spans="1:12">
      <c r="A189" s="6"/>
      <c r="B189" s="6"/>
      <c r="C189" s="6"/>
      <c r="D189" s="6"/>
      <c r="E189" s="6"/>
      <c r="F189" s="6"/>
      <c r="G189" s="8"/>
      <c r="H189" s="6"/>
      <c r="I189" s="6"/>
      <c r="J189" s="6"/>
      <c r="K189" s="6"/>
      <c r="L189" s="6"/>
    </row>
    <row r="190" spans="1:12">
      <c r="A190" s="6"/>
      <c r="B190" s="6"/>
      <c r="C190" s="6"/>
      <c r="D190" s="6"/>
      <c r="E190" s="6"/>
      <c r="F190" s="6"/>
      <c r="G190" s="8"/>
      <c r="H190" s="6"/>
      <c r="I190" s="6"/>
      <c r="J190" s="6"/>
      <c r="K190" s="6"/>
      <c r="L190" s="6"/>
    </row>
    <row r="191" spans="1:12">
      <c r="A191" s="6"/>
      <c r="B191" s="6"/>
      <c r="C191" s="6"/>
      <c r="D191" s="6"/>
      <c r="E191" s="6"/>
      <c r="F191" s="6"/>
      <c r="G191" s="8"/>
      <c r="H191" s="6"/>
      <c r="I191" s="6"/>
      <c r="J191" s="6"/>
      <c r="K191" s="6"/>
      <c r="L191" s="6"/>
    </row>
    <row r="192" spans="1:12">
      <c r="A192" s="6"/>
      <c r="B192" s="6"/>
      <c r="C192" s="6"/>
      <c r="D192" s="6"/>
      <c r="E192" s="6"/>
      <c r="F192" s="6"/>
      <c r="G192" s="8"/>
      <c r="H192" s="6"/>
      <c r="I192" s="6"/>
      <c r="J192" s="6"/>
      <c r="K192" s="6"/>
      <c r="L192" s="6"/>
    </row>
  </sheetData>
  <mergeCells count="3">
    <mergeCell ref="E22:G22"/>
    <mergeCell ref="B22:C22"/>
    <mergeCell ref="O22:P2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413"/>
  <sheetViews>
    <sheetView workbookViewId="0">
      <selection activeCell="M25" sqref="M25"/>
    </sheetView>
  </sheetViews>
  <sheetFormatPr defaultColWidth="11" defaultRowHeight="15.75"/>
  <cols>
    <col min="2" max="2" width="8.5" customWidth="1"/>
    <col min="3" max="3" width="11.875" bestFit="1" customWidth="1"/>
    <col min="4" max="4" width="11" customWidth="1"/>
  </cols>
  <sheetData>
    <row r="1" spans="1:13" ht="21">
      <c r="A1" s="5" t="s">
        <v>1</v>
      </c>
    </row>
    <row r="3" spans="1:13">
      <c r="A3" s="3" t="s">
        <v>3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 spans="1:1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1:1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</row>
    <row r="6" spans="1:13">
      <c r="A6" s="4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</row>
    <row r="7" spans="1:13">
      <c r="A7" s="4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</row>
    <row r="8" spans="1:13">
      <c r="A8" s="3" t="s">
        <v>2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</row>
    <row r="9" spans="1:13">
      <c r="A9" s="3" t="s">
        <v>4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1:13">
      <c r="A10" s="3"/>
      <c r="B10" s="3"/>
      <c r="C10" s="3"/>
      <c r="D10" s="3"/>
    </row>
    <row r="11" spans="1:13">
      <c r="B11" s="30" t="s">
        <v>8</v>
      </c>
      <c r="C11" s="31"/>
      <c r="D11" s="14"/>
      <c r="E11" s="6"/>
      <c r="F11" s="6"/>
      <c r="G11" s="6"/>
    </row>
    <row r="12" spans="1:13">
      <c r="A12" s="3"/>
      <c r="B12" s="36" t="s">
        <v>17</v>
      </c>
      <c r="C12" s="36" t="s">
        <v>16</v>
      </c>
      <c r="D12" s="33"/>
      <c r="E12" s="3"/>
      <c r="F12" s="3"/>
      <c r="G12" s="3"/>
    </row>
    <row r="13" spans="1:13">
      <c r="A13" s="3"/>
      <c r="B13" s="34">
        <v>-2</v>
      </c>
      <c r="C13" s="34">
        <f>Reaction(B13)</f>
        <v>0</v>
      </c>
      <c r="D13" s="3"/>
      <c r="E13" s="3"/>
      <c r="F13" s="3"/>
      <c r="G13" s="3"/>
    </row>
    <row r="14" spans="1:13">
      <c r="A14" s="3"/>
      <c r="B14" s="34">
        <v>-1.99</v>
      </c>
      <c r="C14" s="34">
        <f t="shared" ref="C14:C77" si="0">Reaction(B14)</f>
        <v>0</v>
      </c>
      <c r="D14" s="3"/>
    </row>
    <row r="15" spans="1:13">
      <c r="B15" s="34">
        <v>-1.98</v>
      </c>
      <c r="C15" s="34">
        <f t="shared" si="0"/>
        <v>0</v>
      </c>
    </row>
    <row r="16" spans="1:13">
      <c r="B16" s="34">
        <v>-1.97</v>
      </c>
      <c r="C16" s="34">
        <f t="shared" si="0"/>
        <v>0</v>
      </c>
    </row>
    <row r="17" spans="2:3">
      <c r="B17" s="34">
        <v>-1.96</v>
      </c>
      <c r="C17" s="34">
        <f t="shared" si="0"/>
        <v>0</v>
      </c>
    </row>
    <row r="18" spans="2:3">
      <c r="B18" s="34">
        <v>-1.95</v>
      </c>
      <c r="C18" s="34">
        <f t="shared" si="0"/>
        <v>0</v>
      </c>
    </row>
    <row r="19" spans="2:3">
      <c r="B19" s="34">
        <v>-1.94</v>
      </c>
      <c r="C19" s="34">
        <f t="shared" si="0"/>
        <v>0</v>
      </c>
    </row>
    <row r="20" spans="2:3">
      <c r="B20" s="34">
        <v>-1.93</v>
      </c>
      <c r="C20" s="34">
        <f t="shared" si="0"/>
        <v>0</v>
      </c>
    </row>
    <row r="21" spans="2:3">
      <c r="B21" s="34">
        <v>-1.92</v>
      </c>
      <c r="C21" s="34">
        <f t="shared" si="0"/>
        <v>0</v>
      </c>
    </row>
    <row r="22" spans="2:3">
      <c r="B22" s="34">
        <v>-1.91</v>
      </c>
      <c r="C22" s="34">
        <f t="shared" si="0"/>
        <v>0</v>
      </c>
    </row>
    <row r="23" spans="2:3">
      <c r="B23" s="34">
        <v>-1.9</v>
      </c>
      <c r="C23" s="34">
        <f t="shared" si="0"/>
        <v>0</v>
      </c>
    </row>
    <row r="24" spans="2:3">
      <c r="B24" s="34">
        <v>-1.89</v>
      </c>
      <c r="C24" s="34">
        <f t="shared" si="0"/>
        <v>0</v>
      </c>
    </row>
    <row r="25" spans="2:3">
      <c r="B25" s="34">
        <v>-1.88</v>
      </c>
      <c r="C25" s="34">
        <f t="shared" si="0"/>
        <v>0</v>
      </c>
    </row>
    <row r="26" spans="2:3">
      <c r="B26" s="34">
        <v>-1.87</v>
      </c>
      <c r="C26" s="34">
        <f t="shared" si="0"/>
        <v>0</v>
      </c>
    </row>
    <row r="27" spans="2:3">
      <c r="B27" s="34">
        <v>-1.86</v>
      </c>
      <c r="C27" s="34">
        <f t="shared" si="0"/>
        <v>0</v>
      </c>
    </row>
    <row r="28" spans="2:3">
      <c r="B28" s="34">
        <v>-1.85</v>
      </c>
      <c r="C28" s="34">
        <f t="shared" si="0"/>
        <v>0</v>
      </c>
    </row>
    <row r="29" spans="2:3">
      <c r="B29" s="34">
        <v>-1.84</v>
      </c>
      <c r="C29" s="34">
        <f t="shared" si="0"/>
        <v>0</v>
      </c>
    </row>
    <row r="30" spans="2:3">
      <c r="B30" s="34">
        <v>-1.83</v>
      </c>
      <c r="C30" s="34">
        <f t="shared" si="0"/>
        <v>0</v>
      </c>
    </row>
    <row r="31" spans="2:3">
      <c r="B31" s="34">
        <v>-1.82</v>
      </c>
      <c r="C31" s="34">
        <f t="shared" si="0"/>
        <v>0</v>
      </c>
    </row>
    <row r="32" spans="2:3">
      <c r="B32" s="34">
        <v>-1.81</v>
      </c>
      <c r="C32" s="34">
        <f t="shared" si="0"/>
        <v>0</v>
      </c>
    </row>
    <row r="33" spans="2:3">
      <c r="B33" s="34">
        <v>-1.8</v>
      </c>
      <c r="C33" s="34">
        <f t="shared" si="0"/>
        <v>0</v>
      </c>
    </row>
    <row r="34" spans="2:3">
      <c r="B34" s="34">
        <v>-1.79</v>
      </c>
      <c r="C34" s="34">
        <f t="shared" si="0"/>
        <v>0</v>
      </c>
    </row>
    <row r="35" spans="2:3">
      <c r="B35" s="34">
        <v>-1.78</v>
      </c>
      <c r="C35" s="34">
        <f t="shared" si="0"/>
        <v>0</v>
      </c>
    </row>
    <row r="36" spans="2:3">
      <c r="B36" s="34">
        <v>-1.77</v>
      </c>
      <c r="C36" s="34">
        <f t="shared" si="0"/>
        <v>0</v>
      </c>
    </row>
    <row r="37" spans="2:3">
      <c r="B37" s="34">
        <v>-1.76</v>
      </c>
      <c r="C37" s="34">
        <f t="shared" si="0"/>
        <v>0</v>
      </c>
    </row>
    <row r="38" spans="2:3">
      <c r="B38" s="34">
        <v>-1.75</v>
      </c>
      <c r="C38" s="34">
        <f t="shared" si="0"/>
        <v>0</v>
      </c>
    </row>
    <row r="39" spans="2:3">
      <c r="B39" s="34">
        <v>-1.74</v>
      </c>
      <c r="C39" s="34">
        <f t="shared" si="0"/>
        <v>0</v>
      </c>
    </row>
    <row r="40" spans="2:3">
      <c r="B40" s="34">
        <v>-1.73</v>
      </c>
      <c r="C40" s="34">
        <f t="shared" si="0"/>
        <v>0</v>
      </c>
    </row>
    <row r="41" spans="2:3">
      <c r="B41" s="34">
        <v>-1.72</v>
      </c>
      <c r="C41" s="34">
        <f t="shared" si="0"/>
        <v>0</v>
      </c>
    </row>
    <row r="42" spans="2:3">
      <c r="B42" s="34">
        <v>-1.71</v>
      </c>
      <c r="C42" s="34">
        <f t="shared" si="0"/>
        <v>0</v>
      </c>
    </row>
    <row r="43" spans="2:3">
      <c r="B43" s="34">
        <v>-1.7</v>
      </c>
      <c r="C43" s="34">
        <f t="shared" si="0"/>
        <v>0</v>
      </c>
    </row>
    <row r="44" spans="2:3">
      <c r="B44" s="34">
        <v>-1.69</v>
      </c>
      <c r="C44" s="34">
        <f t="shared" si="0"/>
        <v>0</v>
      </c>
    </row>
    <row r="45" spans="2:3">
      <c r="B45" s="34">
        <v>-1.68</v>
      </c>
      <c r="C45" s="34">
        <f t="shared" si="0"/>
        <v>0</v>
      </c>
    </row>
    <row r="46" spans="2:3">
      <c r="B46" s="34">
        <v>-1.67</v>
      </c>
      <c r="C46" s="34">
        <f t="shared" si="0"/>
        <v>0</v>
      </c>
    </row>
    <row r="47" spans="2:3">
      <c r="B47" s="34">
        <v>-1.66</v>
      </c>
      <c r="C47" s="34">
        <f t="shared" si="0"/>
        <v>0</v>
      </c>
    </row>
    <row r="48" spans="2:3">
      <c r="B48" s="34">
        <v>-1.65</v>
      </c>
      <c r="C48" s="34">
        <f t="shared" si="0"/>
        <v>0</v>
      </c>
    </row>
    <row r="49" spans="2:3">
      <c r="B49" s="34">
        <v>-1.64</v>
      </c>
      <c r="C49" s="34">
        <f t="shared" si="0"/>
        <v>0</v>
      </c>
    </row>
    <row r="50" spans="2:3">
      <c r="B50" s="34">
        <v>-1.63</v>
      </c>
      <c r="C50" s="34">
        <f t="shared" si="0"/>
        <v>0</v>
      </c>
    </row>
    <row r="51" spans="2:3">
      <c r="B51" s="34">
        <v>-1.62</v>
      </c>
      <c r="C51" s="34">
        <f t="shared" si="0"/>
        <v>0</v>
      </c>
    </row>
    <row r="52" spans="2:3">
      <c r="B52" s="34">
        <v>-1.61</v>
      </c>
      <c r="C52" s="34">
        <f t="shared" si="0"/>
        <v>0</v>
      </c>
    </row>
    <row r="53" spans="2:3">
      <c r="B53" s="34">
        <v>-1.6</v>
      </c>
      <c r="C53" s="34">
        <f t="shared" si="0"/>
        <v>0</v>
      </c>
    </row>
    <row r="54" spans="2:3">
      <c r="B54" s="34">
        <v>-1.59</v>
      </c>
      <c r="C54" s="34">
        <f t="shared" si="0"/>
        <v>0</v>
      </c>
    </row>
    <row r="55" spans="2:3">
      <c r="B55" s="34">
        <v>-1.58</v>
      </c>
      <c r="C55" s="34">
        <f t="shared" si="0"/>
        <v>0</v>
      </c>
    </row>
    <row r="56" spans="2:3">
      <c r="B56" s="34">
        <v>-1.57</v>
      </c>
      <c r="C56" s="34">
        <f t="shared" si="0"/>
        <v>0</v>
      </c>
    </row>
    <row r="57" spans="2:3">
      <c r="B57" s="34">
        <v>-1.56</v>
      </c>
      <c r="C57" s="34">
        <f t="shared" si="0"/>
        <v>0</v>
      </c>
    </row>
    <row r="58" spans="2:3">
      <c r="B58" s="34">
        <v>-1.55</v>
      </c>
      <c r="C58" s="34">
        <f t="shared" si="0"/>
        <v>0</v>
      </c>
    </row>
    <row r="59" spans="2:3">
      <c r="B59" s="34">
        <v>-1.54</v>
      </c>
      <c r="C59" s="34">
        <f t="shared" si="0"/>
        <v>0</v>
      </c>
    </row>
    <row r="60" spans="2:3">
      <c r="B60" s="34">
        <v>-1.53</v>
      </c>
      <c r="C60" s="34">
        <f t="shared" si="0"/>
        <v>0</v>
      </c>
    </row>
    <row r="61" spans="2:3">
      <c r="B61" s="34">
        <v>-1.52</v>
      </c>
      <c r="C61" s="34">
        <f t="shared" si="0"/>
        <v>0</v>
      </c>
    </row>
    <row r="62" spans="2:3">
      <c r="B62" s="34">
        <v>-1.51</v>
      </c>
      <c r="C62" s="34">
        <f t="shared" si="0"/>
        <v>0</v>
      </c>
    </row>
    <row r="63" spans="2:3">
      <c r="B63" s="34">
        <v>-1.5</v>
      </c>
      <c r="C63" s="34">
        <f t="shared" si="0"/>
        <v>0</v>
      </c>
    </row>
    <row r="64" spans="2:3">
      <c r="B64" s="34">
        <v>-1.49</v>
      </c>
      <c r="C64" s="34">
        <f t="shared" si="0"/>
        <v>0</v>
      </c>
    </row>
    <row r="65" spans="2:3">
      <c r="B65" s="34">
        <v>-1.48</v>
      </c>
      <c r="C65" s="34">
        <f t="shared" si="0"/>
        <v>0</v>
      </c>
    </row>
    <row r="66" spans="2:3">
      <c r="B66" s="34">
        <v>-1.47</v>
      </c>
      <c r="C66" s="34">
        <f t="shared" si="0"/>
        <v>0</v>
      </c>
    </row>
    <row r="67" spans="2:3">
      <c r="B67" s="34">
        <v>-1.46</v>
      </c>
      <c r="C67" s="34">
        <f t="shared" si="0"/>
        <v>0</v>
      </c>
    </row>
    <row r="68" spans="2:3">
      <c r="B68" s="34">
        <v>-1.45</v>
      </c>
      <c r="C68" s="34">
        <f t="shared" si="0"/>
        <v>0</v>
      </c>
    </row>
    <row r="69" spans="2:3">
      <c r="B69" s="34">
        <v>-1.44</v>
      </c>
      <c r="C69" s="34">
        <f t="shared" si="0"/>
        <v>0</v>
      </c>
    </row>
    <row r="70" spans="2:3">
      <c r="B70" s="34">
        <v>-1.43</v>
      </c>
      <c r="C70" s="34">
        <f t="shared" si="0"/>
        <v>0</v>
      </c>
    </row>
    <row r="71" spans="2:3">
      <c r="B71" s="34">
        <v>-1.42</v>
      </c>
      <c r="C71" s="34">
        <f t="shared" si="0"/>
        <v>0</v>
      </c>
    </row>
    <row r="72" spans="2:3">
      <c r="B72" s="34">
        <v>-1.41</v>
      </c>
      <c r="C72" s="34">
        <f t="shared" si="0"/>
        <v>0</v>
      </c>
    </row>
    <row r="73" spans="2:3">
      <c r="B73" s="34">
        <v>-1.4</v>
      </c>
      <c r="C73" s="34">
        <f t="shared" si="0"/>
        <v>0</v>
      </c>
    </row>
    <row r="74" spans="2:3">
      <c r="B74" s="34">
        <v>-1.39</v>
      </c>
      <c r="C74" s="34">
        <f t="shared" si="0"/>
        <v>0</v>
      </c>
    </row>
    <row r="75" spans="2:3">
      <c r="B75" s="34">
        <v>-1.38</v>
      </c>
      <c r="C75" s="34">
        <f t="shared" si="0"/>
        <v>0</v>
      </c>
    </row>
    <row r="76" spans="2:3">
      <c r="B76" s="34">
        <v>-1.37</v>
      </c>
      <c r="C76" s="34">
        <f t="shared" si="0"/>
        <v>0</v>
      </c>
    </row>
    <row r="77" spans="2:3">
      <c r="B77" s="34">
        <v>-1.36</v>
      </c>
      <c r="C77" s="34">
        <f t="shared" si="0"/>
        <v>0</v>
      </c>
    </row>
    <row r="78" spans="2:3">
      <c r="B78" s="34">
        <v>-1.35</v>
      </c>
      <c r="C78" s="34">
        <f t="shared" ref="C78:C141" si="1">Reaction(B78)</f>
        <v>0</v>
      </c>
    </row>
    <row r="79" spans="2:3">
      <c r="B79" s="34">
        <v>-1.34</v>
      </c>
      <c r="C79" s="34">
        <f t="shared" si="1"/>
        <v>0</v>
      </c>
    </row>
    <row r="80" spans="2:3">
      <c r="B80" s="34">
        <v>-1.33</v>
      </c>
      <c r="C80" s="34">
        <f t="shared" si="1"/>
        <v>0</v>
      </c>
    </row>
    <row r="81" spans="2:3">
      <c r="B81" s="34">
        <v>-1.32</v>
      </c>
      <c r="C81" s="34">
        <f t="shared" si="1"/>
        <v>0</v>
      </c>
    </row>
    <row r="82" spans="2:3">
      <c r="B82" s="34">
        <v>-1.31</v>
      </c>
      <c r="C82" s="34">
        <f t="shared" si="1"/>
        <v>0</v>
      </c>
    </row>
    <row r="83" spans="2:3">
      <c r="B83" s="34">
        <v>-1.3</v>
      </c>
      <c r="C83" s="34">
        <f t="shared" si="1"/>
        <v>0</v>
      </c>
    </row>
    <row r="84" spans="2:3">
      <c r="B84" s="34">
        <v>-1.29</v>
      </c>
      <c r="C84" s="34">
        <f t="shared" si="1"/>
        <v>0</v>
      </c>
    </row>
    <row r="85" spans="2:3">
      <c r="B85" s="34">
        <v>-1.28</v>
      </c>
      <c r="C85" s="34">
        <f t="shared" si="1"/>
        <v>0</v>
      </c>
    </row>
    <row r="86" spans="2:3">
      <c r="B86" s="34">
        <v>-1.27</v>
      </c>
      <c r="C86" s="34">
        <f t="shared" si="1"/>
        <v>0</v>
      </c>
    </row>
    <row r="87" spans="2:3">
      <c r="B87" s="34">
        <v>-1.26</v>
      </c>
      <c r="C87" s="34">
        <f t="shared" si="1"/>
        <v>0</v>
      </c>
    </row>
    <row r="88" spans="2:3">
      <c r="B88" s="34">
        <v>-1.25</v>
      </c>
      <c r="C88" s="34">
        <f t="shared" si="1"/>
        <v>0</v>
      </c>
    </row>
    <row r="89" spans="2:3">
      <c r="B89" s="34">
        <v>-1.24</v>
      </c>
      <c r="C89" s="34">
        <f t="shared" si="1"/>
        <v>0</v>
      </c>
    </row>
    <row r="90" spans="2:3">
      <c r="B90" s="34">
        <v>-1.23</v>
      </c>
      <c r="C90" s="34">
        <f t="shared" si="1"/>
        <v>0</v>
      </c>
    </row>
    <row r="91" spans="2:3">
      <c r="B91" s="34">
        <v>-1.22</v>
      </c>
      <c r="C91" s="34">
        <f t="shared" si="1"/>
        <v>0</v>
      </c>
    </row>
    <row r="92" spans="2:3">
      <c r="B92" s="34">
        <v>-1.21</v>
      </c>
      <c r="C92" s="34">
        <f t="shared" si="1"/>
        <v>0</v>
      </c>
    </row>
    <row r="93" spans="2:3">
      <c r="B93" s="34">
        <v>-1.2</v>
      </c>
      <c r="C93" s="34">
        <f t="shared" si="1"/>
        <v>0</v>
      </c>
    </row>
    <row r="94" spans="2:3">
      <c r="B94" s="34">
        <v>-1.19</v>
      </c>
      <c r="C94" s="34">
        <f t="shared" si="1"/>
        <v>0</v>
      </c>
    </row>
    <row r="95" spans="2:3">
      <c r="B95" s="34">
        <v>-1.18</v>
      </c>
      <c r="C95" s="34">
        <f t="shared" si="1"/>
        <v>0</v>
      </c>
    </row>
    <row r="96" spans="2:3">
      <c r="B96" s="34">
        <v>-1.17</v>
      </c>
      <c r="C96" s="34">
        <f t="shared" si="1"/>
        <v>0</v>
      </c>
    </row>
    <row r="97" spans="2:3">
      <c r="B97" s="34">
        <v>-1.1599999999999999</v>
      </c>
      <c r="C97" s="34">
        <f t="shared" si="1"/>
        <v>0</v>
      </c>
    </row>
    <row r="98" spans="2:3">
      <c r="B98" s="34">
        <v>-1.1499999999999999</v>
      </c>
      <c r="C98" s="34">
        <f t="shared" si="1"/>
        <v>0</v>
      </c>
    </row>
    <row r="99" spans="2:3">
      <c r="B99" s="34">
        <v>-1.1399999999999999</v>
      </c>
      <c r="C99" s="34">
        <f t="shared" si="1"/>
        <v>0</v>
      </c>
    </row>
    <row r="100" spans="2:3">
      <c r="B100" s="34">
        <v>-1.1299999999999999</v>
      </c>
      <c r="C100" s="34">
        <f t="shared" si="1"/>
        <v>0</v>
      </c>
    </row>
    <row r="101" spans="2:3">
      <c r="B101" s="34">
        <v>-1.1200000000000001</v>
      </c>
      <c r="C101" s="34">
        <f t="shared" si="1"/>
        <v>0</v>
      </c>
    </row>
    <row r="102" spans="2:3">
      <c r="B102" s="34">
        <v>-1.1100000000000001</v>
      </c>
      <c r="C102" s="34">
        <f t="shared" si="1"/>
        <v>0</v>
      </c>
    </row>
    <row r="103" spans="2:3">
      <c r="B103" s="34">
        <v>-1.1000000000000001</v>
      </c>
      <c r="C103" s="34">
        <f t="shared" si="1"/>
        <v>0</v>
      </c>
    </row>
    <row r="104" spans="2:3">
      <c r="B104" s="34">
        <v>-1.0900000000000001</v>
      </c>
      <c r="C104" s="34">
        <f t="shared" si="1"/>
        <v>0</v>
      </c>
    </row>
    <row r="105" spans="2:3">
      <c r="B105" s="34">
        <v>-1.08</v>
      </c>
      <c r="C105" s="34">
        <f t="shared" si="1"/>
        <v>0</v>
      </c>
    </row>
    <row r="106" spans="2:3">
      <c r="B106" s="34">
        <v>-1.07</v>
      </c>
      <c r="C106" s="34">
        <f t="shared" si="1"/>
        <v>0</v>
      </c>
    </row>
    <row r="107" spans="2:3">
      <c r="B107" s="34">
        <v>-1.06</v>
      </c>
      <c r="C107" s="34">
        <f t="shared" si="1"/>
        <v>0</v>
      </c>
    </row>
    <row r="108" spans="2:3">
      <c r="B108" s="34">
        <v>-1.05</v>
      </c>
      <c r="C108" s="34">
        <f t="shared" si="1"/>
        <v>0</v>
      </c>
    </row>
    <row r="109" spans="2:3">
      <c r="B109" s="34">
        <v>-1.04</v>
      </c>
      <c r="C109" s="34">
        <f t="shared" si="1"/>
        <v>0</v>
      </c>
    </row>
    <row r="110" spans="2:3">
      <c r="B110" s="34">
        <v>-1.03</v>
      </c>
      <c r="C110" s="34">
        <f t="shared" si="1"/>
        <v>0</v>
      </c>
    </row>
    <row r="111" spans="2:3">
      <c r="B111" s="34">
        <v>-1.02</v>
      </c>
      <c r="C111" s="34">
        <f t="shared" si="1"/>
        <v>0</v>
      </c>
    </row>
    <row r="112" spans="2:3">
      <c r="B112" s="34">
        <v>-1.01</v>
      </c>
      <c r="C112" s="34">
        <f t="shared" si="1"/>
        <v>0</v>
      </c>
    </row>
    <row r="113" spans="2:3">
      <c r="B113" s="34">
        <v>-1</v>
      </c>
      <c r="C113" s="34">
        <f t="shared" si="1"/>
        <v>0</v>
      </c>
    </row>
    <row r="114" spans="2:3">
      <c r="B114" s="34">
        <v>-0.99</v>
      </c>
      <c r="C114" s="34">
        <f t="shared" si="1"/>
        <v>0</v>
      </c>
    </row>
    <row r="115" spans="2:3">
      <c r="B115" s="34">
        <v>-0.98</v>
      </c>
      <c r="C115" s="34">
        <f t="shared" si="1"/>
        <v>0</v>
      </c>
    </row>
    <row r="116" spans="2:3">
      <c r="B116" s="34">
        <v>-0.97</v>
      </c>
      <c r="C116" s="34">
        <f t="shared" si="1"/>
        <v>0</v>
      </c>
    </row>
    <row r="117" spans="2:3">
      <c r="B117" s="34">
        <v>-0.96</v>
      </c>
      <c r="C117" s="34">
        <f t="shared" si="1"/>
        <v>0</v>
      </c>
    </row>
    <row r="118" spans="2:3">
      <c r="B118" s="34">
        <v>-0.95</v>
      </c>
      <c r="C118" s="34">
        <f t="shared" si="1"/>
        <v>0</v>
      </c>
    </row>
    <row r="119" spans="2:3">
      <c r="B119" s="34">
        <v>-0.94</v>
      </c>
      <c r="C119" s="34">
        <f t="shared" si="1"/>
        <v>0</v>
      </c>
    </row>
    <row r="120" spans="2:3">
      <c r="B120" s="34">
        <v>-0.93</v>
      </c>
      <c r="C120" s="34">
        <f t="shared" si="1"/>
        <v>0</v>
      </c>
    </row>
    <row r="121" spans="2:3">
      <c r="B121" s="34">
        <v>-0.92</v>
      </c>
      <c r="C121" s="34">
        <f t="shared" si="1"/>
        <v>0</v>
      </c>
    </row>
    <row r="122" spans="2:3">
      <c r="B122" s="34">
        <v>-0.91</v>
      </c>
      <c r="C122" s="34">
        <f t="shared" si="1"/>
        <v>0</v>
      </c>
    </row>
    <row r="123" spans="2:3">
      <c r="B123" s="34">
        <v>-0.9</v>
      </c>
      <c r="C123" s="34">
        <f t="shared" si="1"/>
        <v>0</v>
      </c>
    </row>
    <row r="124" spans="2:3">
      <c r="B124" s="34">
        <v>-0.89</v>
      </c>
      <c r="C124" s="34">
        <f t="shared" si="1"/>
        <v>0</v>
      </c>
    </row>
    <row r="125" spans="2:3">
      <c r="B125" s="34">
        <v>-0.88</v>
      </c>
      <c r="C125" s="34">
        <f t="shared" si="1"/>
        <v>0</v>
      </c>
    </row>
    <row r="126" spans="2:3">
      <c r="B126" s="34">
        <v>-0.87</v>
      </c>
      <c r="C126" s="34">
        <f t="shared" si="1"/>
        <v>0</v>
      </c>
    </row>
    <row r="127" spans="2:3">
      <c r="B127" s="34">
        <v>-0.86</v>
      </c>
      <c r="C127" s="34">
        <f t="shared" si="1"/>
        <v>0</v>
      </c>
    </row>
    <row r="128" spans="2:3">
      <c r="B128" s="34">
        <v>-0.85</v>
      </c>
      <c r="C128" s="34">
        <f t="shared" si="1"/>
        <v>0</v>
      </c>
    </row>
    <row r="129" spans="2:3">
      <c r="B129" s="34">
        <v>-0.84</v>
      </c>
      <c r="C129" s="34">
        <f t="shared" si="1"/>
        <v>0</v>
      </c>
    </row>
    <row r="130" spans="2:3">
      <c r="B130" s="34">
        <v>-0.83</v>
      </c>
      <c r="C130" s="34">
        <f t="shared" si="1"/>
        <v>0</v>
      </c>
    </row>
    <row r="131" spans="2:3">
      <c r="B131" s="34">
        <v>-0.82</v>
      </c>
      <c r="C131" s="34">
        <f t="shared" si="1"/>
        <v>0</v>
      </c>
    </row>
    <row r="132" spans="2:3">
      <c r="B132" s="34">
        <v>-0.81</v>
      </c>
      <c r="C132" s="34">
        <f t="shared" si="1"/>
        <v>0</v>
      </c>
    </row>
    <row r="133" spans="2:3">
      <c r="B133" s="34">
        <v>-0.8</v>
      </c>
      <c r="C133" s="34">
        <f t="shared" si="1"/>
        <v>0</v>
      </c>
    </row>
    <row r="134" spans="2:3">
      <c r="B134" s="34">
        <v>-0.79</v>
      </c>
      <c r="C134" s="34">
        <f t="shared" si="1"/>
        <v>0</v>
      </c>
    </row>
    <row r="135" spans="2:3">
      <c r="B135" s="34">
        <v>-0.78</v>
      </c>
      <c r="C135" s="34">
        <f t="shared" si="1"/>
        <v>0</v>
      </c>
    </row>
    <row r="136" spans="2:3">
      <c r="B136" s="34">
        <v>-0.77</v>
      </c>
      <c r="C136" s="34">
        <f t="shared" si="1"/>
        <v>0</v>
      </c>
    </row>
    <row r="137" spans="2:3">
      <c r="B137" s="34">
        <v>-0.76</v>
      </c>
      <c r="C137" s="34">
        <f t="shared" si="1"/>
        <v>0</v>
      </c>
    </row>
    <row r="138" spans="2:3">
      <c r="B138" s="34">
        <v>-0.75</v>
      </c>
      <c r="C138" s="34">
        <f t="shared" si="1"/>
        <v>0</v>
      </c>
    </row>
    <row r="139" spans="2:3">
      <c r="B139" s="34">
        <v>-0.74</v>
      </c>
      <c r="C139" s="34">
        <f t="shared" si="1"/>
        <v>0</v>
      </c>
    </row>
    <row r="140" spans="2:3">
      <c r="B140" s="34">
        <v>-0.73</v>
      </c>
      <c r="C140" s="34">
        <f t="shared" si="1"/>
        <v>0</v>
      </c>
    </row>
    <row r="141" spans="2:3">
      <c r="B141" s="34">
        <v>-0.72</v>
      </c>
      <c r="C141" s="34">
        <f t="shared" si="1"/>
        <v>0</v>
      </c>
    </row>
    <row r="142" spans="2:3">
      <c r="B142" s="34">
        <v>-0.71</v>
      </c>
      <c r="C142" s="34">
        <f t="shared" ref="C142:C205" si="2">Reaction(B142)</f>
        <v>0</v>
      </c>
    </row>
    <row r="143" spans="2:3">
      <c r="B143" s="34">
        <v>-0.7</v>
      </c>
      <c r="C143" s="34">
        <f t="shared" si="2"/>
        <v>0</v>
      </c>
    </row>
    <row r="144" spans="2:3">
      <c r="B144" s="34">
        <v>-0.69</v>
      </c>
      <c r="C144" s="34">
        <f t="shared" si="2"/>
        <v>0</v>
      </c>
    </row>
    <row r="145" spans="2:3">
      <c r="B145" s="34">
        <v>-0.68</v>
      </c>
      <c r="C145" s="34">
        <f t="shared" si="2"/>
        <v>0</v>
      </c>
    </row>
    <row r="146" spans="2:3">
      <c r="B146" s="34">
        <v>-0.67</v>
      </c>
      <c r="C146" s="34">
        <f t="shared" si="2"/>
        <v>0</v>
      </c>
    </row>
    <row r="147" spans="2:3">
      <c r="B147" s="34">
        <v>-0.66</v>
      </c>
      <c r="C147" s="34">
        <f t="shared" si="2"/>
        <v>0</v>
      </c>
    </row>
    <row r="148" spans="2:3">
      <c r="B148" s="34">
        <v>-0.65</v>
      </c>
      <c r="C148" s="34">
        <f t="shared" si="2"/>
        <v>0</v>
      </c>
    </row>
    <row r="149" spans="2:3">
      <c r="B149" s="34">
        <v>-0.64</v>
      </c>
      <c r="C149" s="34">
        <f t="shared" si="2"/>
        <v>0</v>
      </c>
    </row>
    <row r="150" spans="2:3">
      <c r="B150" s="34">
        <v>-0.63</v>
      </c>
      <c r="C150" s="34">
        <f t="shared" si="2"/>
        <v>0</v>
      </c>
    </row>
    <row r="151" spans="2:3">
      <c r="B151" s="34">
        <v>-0.62</v>
      </c>
      <c r="C151" s="34">
        <f t="shared" si="2"/>
        <v>0</v>
      </c>
    </row>
    <row r="152" spans="2:3">
      <c r="B152" s="34">
        <v>-0.61</v>
      </c>
      <c r="C152" s="34">
        <f t="shared" si="2"/>
        <v>0</v>
      </c>
    </row>
    <row r="153" spans="2:3">
      <c r="B153" s="34">
        <v>-0.6</v>
      </c>
      <c r="C153" s="34">
        <f t="shared" si="2"/>
        <v>0</v>
      </c>
    </row>
    <row r="154" spans="2:3">
      <c r="B154" s="34">
        <v>-0.59</v>
      </c>
      <c r="C154" s="34">
        <f t="shared" si="2"/>
        <v>0</v>
      </c>
    </row>
    <row r="155" spans="2:3">
      <c r="B155" s="34">
        <v>-0.57999999999999996</v>
      </c>
      <c r="C155" s="34">
        <f t="shared" si="2"/>
        <v>0</v>
      </c>
    </row>
    <row r="156" spans="2:3">
      <c r="B156" s="34">
        <v>-0.56999999999999995</v>
      </c>
      <c r="C156" s="34">
        <f t="shared" si="2"/>
        <v>0</v>
      </c>
    </row>
    <row r="157" spans="2:3">
      <c r="B157" s="34">
        <v>-0.56000000000000005</v>
      </c>
      <c r="C157" s="34">
        <f t="shared" si="2"/>
        <v>0</v>
      </c>
    </row>
    <row r="158" spans="2:3">
      <c r="B158" s="34">
        <v>-0.55000000000000004</v>
      </c>
      <c r="C158" s="34">
        <f t="shared" si="2"/>
        <v>0</v>
      </c>
    </row>
    <row r="159" spans="2:3">
      <c r="B159" s="34">
        <v>-0.54</v>
      </c>
      <c r="C159" s="34">
        <f t="shared" si="2"/>
        <v>0</v>
      </c>
    </row>
    <row r="160" spans="2:3">
      <c r="B160" s="34">
        <v>-0.53</v>
      </c>
      <c r="C160" s="34">
        <f t="shared" si="2"/>
        <v>0</v>
      </c>
    </row>
    <row r="161" spans="2:3">
      <c r="B161" s="34">
        <v>-0.52</v>
      </c>
      <c r="C161" s="34">
        <f t="shared" si="2"/>
        <v>0</v>
      </c>
    </row>
    <row r="162" spans="2:3">
      <c r="B162" s="34">
        <v>-0.51</v>
      </c>
      <c r="C162" s="34">
        <f t="shared" si="2"/>
        <v>0</v>
      </c>
    </row>
    <row r="163" spans="2:3">
      <c r="B163" s="34">
        <v>-0.5</v>
      </c>
      <c r="C163" s="34">
        <f t="shared" si="2"/>
        <v>0</v>
      </c>
    </row>
    <row r="164" spans="2:3">
      <c r="B164" s="34">
        <v>-0.49</v>
      </c>
      <c r="C164" s="34">
        <f t="shared" si="2"/>
        <v>0</v>
      </c>
    </row>
    <row r="165" spans="2:3">
      <c r="B165" s="34">
        <v>-0.48</v>
      </c>
      <c r="C165" s="34">
        <f t="shared" si="2"/>
        <v>0</v>
      </c>
    </row>
    <row r="166" spans="2:3">
      <c r="B166" s="34">
        <v>-0.47</v>
      </c>
      <c r="C166" s="34">
        <f t="shared" si="2"/>
        <v>0</v>
      </c>
    </row>
    <row r="167" spans="2:3">
      <c r="B167" s="34">
        <v>-0.46</v>
      </c>
      <c r="C167" s="34">
        <f t="shared" si="2"/>
        <v>0</v>
      </c>
    </row>
    <row r="168" spans="2:3">
      <c r="B168" s="34">
        <v>-0.45</v>
      </c>
      <c r="C168" s="34">
        <f t="shared" si="2"/>
        <v>0</v>
      </c>
    </row>
    <row r="169" spans="2:3">
      <c r="B169" s="34">
        <v>-0.44</v>
      </c>
      <c r="C169" s="34">
        <f t="shared" si="2"/>
        <v>0</v>
      </c>
    </row>
    <row r="170" spans="2:3">
      <c r="B170" s="34">
        <v>-0.43</v>
      </c>
      <c r="C170" s="34">
        <f t="shared" si="2"/>
        <v>0</v>
      </c>
    </row>
    <row r="171" spans="2:3">
      <c r="B171" s="34">
        <v>-0.42</v>
      </c>
      <c r="C171" s="34">
        <f t="shared" si="2"/>
        <v>0</v>
      </c>
    </row>
    <row r="172" spans="2:3">
      <c r="B172" s="34">
        <v>-0.41</v>
      </c>
      <c r="C172" s="34">
        <f t="shared" si="2"/>
        <v>0</v>
      </c>
    </row>
    <row r="173" spans="2:3">
      <c r="B173" s="34">
        <v>-0.4</v>
      </c>
      <c r="C173" s="34">
        <f t="shared" si="2"/>
        <v>0</v>
      </c>
    </row>
    <row r="174" spans="2:3">
      <c r="B174" s="34">
        <v>-0.39</v>
      </c>
      <c r="C174" s="34">
        <f t="shared" si="2"/>
        <v>0</v>
      </c>
    </row>
    <row r="175" spans="2:3">
      <c r="B175" s="34">
        <v>-0.38</v>
      </c>
      <c r="C175" s="34">
        <f t="shared" si="2"/>
        <v>0</v>
      </c>
    </row>
    <row r="176" spans="2:3">
      <c r="B176" s="34">
        <v>-0.37</v>
      </c>
      <c r="C176" s="34">
        <f t="shared" si="2"/>
        <v>0</v>
      </c>
    </row>
    <row r="177" spans="2:3">
      <c r="B177" s="34">
        <v>-0.36</v>
      </c>
      <c r="C177" s="34">
        <f t="shared" si="2"/>
        <v>0</v>
      </c>
    </row>
    <row r="178" spans="2:3">
      <c r="B178" s="34">
        <v>-0.35</v>
      </c>
      <c r="C178" s="34">
        <f t="shared" si="2"/>
        <v>0</v>
      </c>
    </row>
    <row r="179" spans="2:3">
      <c r="B179" s="34">
        <v>-0.34</v>
      </c>
      <c r="C179" s="34">
        <f t="shared" si="2"/>
        <v>0</v>
      </c>
    </row>
    <row r="180" spans="2:3">
      <c r="B180" s="34">
        <v>-0.33</v>
      </c>
      <c r="C180" s="34">
        <f t="shared" si="2"/>
        <v>0</v>
      </c>
    </row>
    <row r="181" spans="2:3">
      <c r="B181" s="34">
        <v>-0.32</v>
      </c>
      <c r="C181" s="34">
        <f t="shared" si="2"/>
        <v>0</v>
      </c>
    </row>
    <row r="182" spans="2:3">
      <c r="B182" s="34">
        <v>-0.31</v>
      </c>
      <c r="C182" s="34">
        <f t="shared" si="2"/>
        <v>0</v>
      </c>
    </row>
    <row r="183" spans="2:3">
      <c r="B183" s="34">
        <v>-0.3</v>
      </c>
      <c r="C183" s="34">
        <f t="shared" si="2"/>
        <v>0</v>
      </c>
    </row>
    <row r="184" spans="2:3">
      <c r="B184" s="34">
        <v>-0.28999999999999998</v>
      </c>
      <c r="C184" s="34">
        <f t="shared" si="2"/>
        <v>0</v>
      </c>
    </row>
    <row r="185" spans="2:3">
      <c r="B185" s="34">
        <v>-0.28000000000000003</v>
      </c>
      <c r="C185" s="34">
        <f t="shared" si="2"/>
        <v>0</v>
      </c>
    </row>
    <row r="186" spans="2:3">
      <c r="B186" s="34">
        <v>-0.27</v>
      </c>
      <c r="C186" s="34">
        <f t="shared" si="2"/>
        <v>0</v>
      </c>
    </row>
    <row r="187" spans="2:3">
      <c r="B187" s="34">
        <v>-0.26</v>
      </c>
      <c r="C187" s="34">
        <f t="shared" si="2"/>
        <v>0</v>
      </c>
    </row>
    <row r="188" spans="2:3">
      <c r="B188" s="34">
        <v>-0.25</v>
      </c>
      <c r="C188" s="34">
        <f t="shared" si="2"/>
        <v>0</v>
      </c>
    </row>
    <row r="189" spans="2:3">
      <c r="B189" s="34">
        <v>-0.24</v>
      </c>
      <c r="C189" s="34">
        <f t="shared" si="2"/>
        <v>0</v>
      </c>
    </row>
    <row r="190" spans="2:3">
      <c r="B190" s="34">
        <v>-0.23</v>
      </c>
      <c r="C190" s="34">
        <f t="shared" si="2"/>
        <v>0</v>
      </c>
    </row>
    <row r="191" spans="2:3">
      <c r="B191" s="34">
        <v>-0.22</v>
      </c>
      <c r="C191" s="34">
        <f t="shared" si="2"/>
        <v>0</v>
      </c>
    </row>
    <row r="192" spans="2:3">
      <c r="B192" s="34">
        <v>-0.21</v>
      </c>
      <c r="C192" s="34">
        <f t="shared" si="2"/>
        <v>0</v>
      </c>
    </row>
    <row r="193" spans="2:3">
      <c r="B193" s="34">
        <v>-0.2</v>
      </c>
      <c r="C193" s="34">
        <f t="shared" si="2"/>
        <v>0</v>
      </c>
    </row>
    <row r="194" spans="2:3">
      <c r="B194" s="34">
        <v>-0.19</v>
      </c>
      <c r="C194" s="34">
        <f t="shared" si="2"/>
        <v>0</v>
      </c>
    </row>
    <row r="195" spans="2:3">
      <c r="B195" s="34">
        <v>-0.18</v>
      </c>
      <c r="C195" s="34">
        <f t="shared" si="2"/>
        <v>0</v>
      </c>
    </row>
    <row r="196" spans="2:3">
      <c r="B196" s="34">
        <v>-0.17</v>
      </c>
      <c r="C196" s="34">
        <f t="shared" si="2"/>
        <v>0</v>
      </c>
    </row>
    <row r="197" spans="2:3">
      <c r="B197" s="34">
        <v>-0.16</v>
      </c>
      <c r="C197" s="34">
        <f t="shared" si="2"/>
        <v>0</v>
      </c>
    </row>
    <row r="198" spans="2:3">
      <c r="B198" s="34">
        <v>-0.15</v>
      </c>
      <c r="C198" s="34">
        <f t="shared" si="2"/>
        <v>0</v>
      </c>
    </row>
    <row r="199" spans="2:3">
      <c r="B199" s="34">
        <v>-0.14000000000000001</v>
      </c>
      <c r="C199" s="34">
        <f t="shared" si="2"/>
        <v>0</v>
      </c>
    </row>
    <row r="200" spans="2:3">
      <c r="B200" s="34">
        <v>-0.13</v>
      </c>
      <c r="C200" s="34">
        <f t="shared" si="2"/>
        <v>0</v>
      </c>
    </row>
    <row r="201" spans="2:3">
      <c r="B201" s="34">
        <v>-0.12</v>
      </c>
      <c r="C201" s="34">
        <f t="shared" si="2"/>
        <v>0</v>
      </c>
    </row>
    <row r="202" spans="2:3">
      <c r="B202" s="34">
        <v>-0.11</v>
      </c>
      <c r="C202" s="34">
        <f t="shared" si="2"/>
        <v>0</v>
      </c>
    </row>
    <row r="203" spans="2:3">
      <c r="B203" s="34">
        <v>-0.1</v>
      </c>
      <c r="C203" s="34">
        <f t="shared" si="2"/>
        <v>0</v>
      </c>
    </row>
    <row r="204" spans="2:3">
      <c r="B204" s="34">
        <v>-9.0000000000000094E-2</v>
      </c>
      <c r="C204" s="34">
        <f t="shared" si="2"/>
        <v>0</v>
      </c>
    </row>
    <row r="205" spans="2:3">
      <c r="B205" s="34">
        <v>-8.0000000000000099E-2</v>
      </c>
      <c r="C205" s="34">
        <f t="shared" si="2"/>
        <v>0</v>
      </c>
    </row>
    <row r="206" spans="2:3">
      <c r="B206" s="34">
        <v>-7.0000000000000104E-2</v>
      </c>
      <c r="C206" s="34">
        <f t="shared" ref="C206:C269" si="3">Reaction(B206)</f>
        <v>0</v>
      </c>
    </row>
    <row r="207" spans="2:3">
      <c r="B207" s="34">
        <v>-6.0000000000000102E-2</v>
      </c>
      <c r="C207" s="34">
        <f t="shared" si="3"/>
        <v>0</v>
      </c>
    </row>
    <row r="208" spans="2:3">
      <c r="B208" s="34">
        <v>-0.05</v>
      </c>
      <c r="C208" s="34">
        <f t="shared" si="3"/>
        <v>0</v>
      </c>
    </row>
    <row r="209" spans="2:3">
      <c r="B209" s="34">
        <v>-0.04</v>
      </c>
      <c r="C209" s="34">
        <f t="shared" si="3"/>
        <v>0</v>
      </c>
    </row>
    <row r="210" spans="2:3">
      <c r="B210" s="34">
        <v>-0.03</v>
      </c>
      <c r="C210" s="34">
        <f t="shared" si="3"/>
        <v>0</v>
      </c>
    </row>
    <row r="211" spans="2:3">
      <c r="B211" s="34">
        <v>-0.02</v>
      </c>
      <c r="C211" s="34">
        <f t="shared" si="3"/>
        <v>0</v>
      </c>
    </row>
    <row r="212" spans="2:3">
      <c r="B212" s="34">
        <v>-0.01</v>
      </c>
      <c r="C212" s="34">
        <f t="shared" si="3"/>
        <v>0</v>
      </c>
    </row>
    <row r="213" spans="2:3">
      <c r="B213" s="34">
        <v>0</v>
      </c>
      <c r="C213" s="34">
        <f t="shared" si="3"/>
        <v>0</v>
      </c>
    </row>
    <row r="214" spans="2:3">
      <c r="B214" s="34">
        <v>9.9999999999997903E-3</v>
      </c>
      <c r="C214" s="34">
        <f t="shared" si="3"/>
        <v>2.0000333334999586E-2</v>
      </c>
    </row>
    <row r="215" spans="2:3">
      <c r="B215" s="34">
        <v>0.02</v>
      </c>
      <c r="C215" s="34">
        <f t="shared" si="3"/>
        <v>4.000266672000051E-2</v>
      </c>
    </row>
    <row r="216" spans="2:3">
      <c r="B216" s="34">
        <v>2.9999999999999801E-2</v>
      </c>
      <c r="C216" s="34">
        <f t="shared" si="3"/>
        <v>6.0009000405008284E-2</v>
      </c>
    </row>
    <row r="217" spans="2:3">
      <c r="B217" s="34">
        <v>0.04</v>
      </c>
      <c r="C217" s="34">
        <f t="shared" si="3"/>
        <v>8.0021335040065006E-2</v>
      </c>
    </row>
    <row r="218" spans="2:3">
      <c r="B218" s="34">
        <v>4.9999999999999802E-2</v>
      </c>
      <c r="C218" s="34">
        <f t="shared" si="3"/>
        <v>0.10004167187530963</v>
      </c>
    </row>
    <row r="219" spans="2:3">
      <c r="B219" s="34">
        <v>6.0000000000000102E-2</v>
      </c>
      <c r="C219" s="34">
        <f t="shared" si="3"/>
        <v>0.12007201296111111</v>
      </c>
    </row>
    <row r="220" spans="2:3">
      <c r="B220" s="34">
        <v>6.9999999999999798E-2</v>
      </c>
      <c r="C220" s="34">
        <f t="shared" si="3"/>
        <v>0.14011436134826785</v>
      </c>
    </row>
    <row r="221" spans="2:3">
      <c r="B221" s="34">
        <v>8.0000000000000099E-2</v>
      </c>
      <c r="C221" s="34">
        <f t="shared" si="3"/>
        <v>0.16017072128832296</v>
      </c>
    </row>
    <row r="222" spans="2:3">
      <c r="B222" s="34">
        <v>8.99999999999999E-2</v>
      </c>
      <c r="C222" s="34">
        <f t="shared" si="3"/>
        <v>0.18024309843398195</v>
      </c>
    </row>
    <row r="223" spans="2:3">
      <c r="B223" s="34">
        <v>0.1</v>
      </c>
      <c r="C223" s="34">
        <f t="shared" si="3"/>
        <v>0.20033350003968806</v>
      </c>
    </row>
    <row r="224" spans="2:3">
      <c r="B224" s="34">
        <v>0.11</v>
      </c>
      <c r="C224" s="34">
        <f t="shared" si="3"/>
        <v>0.22044393516234306</v>
      </c>
    </row>
    <row r="225" spans="2:3">
      <c r="B225" s="34">
        <v>0.12</v>
      </c>
      <c r="C225" s="34">
        <f t="shared" si="3"/>
        <v>0.24057641486221815</v>
      </c>
    </row>
    <row r="226" spans="2:3">
      <c r="B226" s="34">
        <v>0.13</v>
      </c>
      <c r="C226" s="34">
        <f t="shared" si="3"/>
        <v>0.26073295240406047</v>
      </c>
    </row>
    <row r="227" spans="2:3">
      <c r="B227" s="34">
        <v>0.14000000000000001</v>
      </c>
      <c r="C227" s="34">
        <f t="shared" si="3"/>
        <v>0.2809155634584215</v>
      </c>
    </row>
    <row r="228" spans="2:3">
      <c r="B228" s="34">
        <v>0.15</v>
      </c>
      <c r="C228" s="34">
        <f t="shared" si="3"/>
        <v>0.30112626630322531</v>
      </c>
    </row>
    <row r="229" spans="2:3">
      <c r="B229" s="34">
        <v>0.16</v>
      </c>
      <c r="C229" s="34">
        <f t="shared" si="3"/>
        <v>0.32136708202559894</v>
      </c>
    </row>
    <row r="230" spans="2:3">
      <c r="B230" s="34">
        <v>0.17</v>
      </c>
      <c r="C230" s="34">
        <f t="shared" si="3"/>
        <v>0.34164003472398186</v>
      </c>
    </row>
    <row r="231" spans="2:3">
      <c r="B231" s="34">
        <v>0.18</v>
      </c>
      <c r="C231" s="34">
        <f t="shared" si="3"/>
        <v>0.36194715171053815</v>
      </c>
    </row>
    <row r="232" spans="2:3">
      <c r="B232" s="34">
        <v>0.19</v>
      </c>
      <c r="C232" s="34">
        <f t="shared" si="3"/>
        <v>0.38229046371388914</v>
      </c>
    </row>
    <row r="233" spans="2:3">
      <c r="B233" s="34">
        <v>0.2</v>
      </c>
      <c r="C233" s="34">
        <f t="shared" si="3"/>
        <v>0.40267200508218803</v>
      </c>
    </row>
    <row r="234" spans="2:3">
      <c r="B234" s="34">
        <v>0.21</v>
      </c>
      <c r="C234" s="34">
        <f t="shared" si="3"/>
        <v>0.4230938139865561</v>
      </c>
    </row>
    <row r="235" spans="2:3">
      <c r="B235" s="34">
        <v>0.22</v>
      </c>
      <c r="C235" s="34">
        <f t="shared" si="3"/>
        <v>0.44355793262490228</v>
      </c>
    </row>
    <row r="236" spans="2:3">
      <c r="B236" s="34">
        <v>0.23</v>
      </c>
      <c r="C236" s="34">
        <f t="shared" si="3"/>
        <v>0.46406640742614386</v>
      </c>
    </row>
    <row r="237" spans="2:3">
      <c r="B237" s="34">
        <v>0.24</v>
      </c>
      <c r="C237" s="34">
        <f t="shared" si="3"/>
        <v>0.48462128925485126</v>
      </c>
    </row>
    <row r="238" spans="2:3">
      <c r="B238" s="34">
        <v>0.25</v>
      </c>
      <c r="C238" s="34">
        <f t="shared" si="3"/>
        <v>0.50522463361633663</v>
      </c>
    </row>
    <row r="239" spans="2:3">
      <c r="B239" s="34">
        <v>0.26</v>
      </c>
      <c r="C239" s="34">
        <f t="shared" si="3"/>
        <v>0.52587850086220556</v>
      </c>
    </row>
    <row r="240" spans="2:3">
      <c r="B240" s="34">
        <v>0.27</v>
      </c>
      <c r="C240" s="34">
        <f t="shared" si="3"/>
        <v>0.54658495639639415</v>
      </c>
    </row>
    <row r="241" spans="2:3">
      <c r="B241" s="34">
        <v>0.28000000000000003</v>
      </c>
      <c r="C241" s="34">
        <f t="shared" si="3"/>
        <v>0.56734607088171152</v>
      </c>
    </row>
    <row r="242" spans="2:3">
      <c r="B242" s="34">
        <v>0.28999999999999998</v>
      </c>
      <c r="C242" s="34">
        <f t="shared" si="3"/>
        <v>0.58816392044690691</v>
      </c>
    </row>
    <row r="243" spans="2:3">
      <c r="B243" s="34">
        <v>0.3</v>
      </c>
      <c r="C243" s="34">
        <f t="shared" si="3"/>
        <v>0.6090405868942852</v>
      </c>
    </row>
    <row r="244" spans="2:3">
      <c r="B244" s="34">
        <v>0.31</v>
      </c>
      <c r="C244" s="34">
        <f t="shared" si="3"/>
        <v>0.62997815790788847</v>
      </c>
    </row>
    <row r="245" spans="2:3">
      <c r="B245" s="34">
        <v>0.32</v>
      </c>
      <c r="C245" s="34">
        <f t="shared" si="3"/>
        <v>0.65097872726226624</v>
      </c>
    </row>
    <row r="246" spans="2:3">
      <c r="B246" s="34">
        <v>0.33</v>
      </c>
      <c r="C246" s="34">
        <f t="shared" si="3"/>
        <v>0.6720443950318542</v>
      </c>
    </row>
    <row r="247" spans="2:3">
      <c r="B247" s="34">
        <v>0.34</v>
      </c>
      <c r="C247" s="34">
        <f t="shared" si="3"/>
        <v>0.69317726780098421</v>
      </c>
    </row>
    <row r="248" spans="2:3">
      <c r="B248" s="34">
        <v>0.35</v>
      </c>
      <c r="C248" s="34">
        <f t="shared" si="3"/>
        <v>0.71437945887454379</v>
      </c>
    </row>
    <row r="249" spans="2:3">
      <c r="B249" s="34">
        <v>0.36</v>
      </c>
      <c r="C249" s="34">
        <f t="shared" si="3"/>
        <v>0.7356530884893091</v>
      </c>
    </row>
    <row r="250" spans="2:3">
      <c r="B250" s="34">
        <v>0.37</v>
      </c>
      <c r="C250" s="34">
        <f t="shared" si="3"/>
        <v>0.75700028402596975</v>
      </c>
    </row>
    <row r="251" spans="2:3">
      <c r="B251" s="34">
        <v>0.38</v>
      </c>
      <c r="C251" s="34">
        <f t="shared" si="3"/>
        <v>0.77842318022186863</v>
      </c>
    </row>
    <row r="252" spans="2:3">
      <c r="B252" s="34">
        <v>0.39</v>
      </c>
      <c r="C252" s="34">
        <f t="shared" si="3"/>
        <v>0.79992391938447804</v>
      </c>
    </row>
    <row r="253" spans="2:3">
      <c r="B253" s="34">
        <v>0.4</v>
      </c>
      <c r="C253" s="34">
        <f t="shared" si="3"/>
        <v>0.82150465160563102</v>
      </c>
    </row>
    <row r="254" spans="2:3">
      <c r="B254" s="34">
        <v>0.41</v>
      </c>
      <c r="C254" s="34">
        <f t="shared" si="3"/>
        <v>0.84316753497653418</v>
      </c>
    </row>
    <row r="255" spans="2:3">
      <c r="B255" s="34">
        <v>0.42</v>
      </c>
      <c r="C255" s="34">
        <f t="shared" si="3"/>
        <v>0.86491473580357692</v>
      </c>
    </row>
    <row r="256" spans="2:3">
      <c r="B256" s="34">
        <v>0.43</v>
      </c>
      <c r="C256" s="34">
        <f t="shared" si="3"/>
        <v>0.88674842882496496</v>
      </c>
    </row>
    <row r="257" spans="2:3">
      <c r="B257" s="34">
        <v>0.44</v>
      </c>
      <c r="C257" s="34">
        <f t="shared" si="3"/>
        <v>0.90867079742819468</v>
      </c>
    </row>
    <row r="258" spans="2:3">
      <c r="B258" s="34">
        <v>0.45</v>
      </c>
      <c r="C258" s="34">
        <f t="shared" si="3"/>
        <v>0.9306840338683956</v>
      </c>
    </row>
    <row r="259" spans="2:3">
      <c r="B259" s="34">
        <v>0.46</v>
      </c>
      <c r="C259" s="34">
        <f t="shared" si="3"/>
        <v>0.95279033948755587</v>
      </c>
    </row>
    <row r="260" spans="2:3">
      <c r="B260" s="34">
        <v>0.47</v>
      </c>
      <c r="C260" s="34">
        <f t="shared" si="3"/>
        <v>0.97499192493465925</v>
      </c>
    </row>
    <row r="261" spans="2:3">
      <c r="B261" s="34">
        <v>0.48</v>
      </c>
      <c r="C261" s="34">
        <f t="shared" si="3"/>
        <v>0.9972910103867525</v>
      </c>
    </row>
    <row r="262" spans="2:3">
      <c r="B262" s="34">
        <v>0.49</v>
      </c>
      <c r="C262" s="34">
        <f t="shared" si="3"/>
        <v>1.0196898257709628</v>
      </c>
    </row>
    <row r="263" spans="2:3">
      <c r="B263" s="34">
        <v>0.5</v>
      </c>
      <c r="C263" s="34">
        <f t="shared" si="3"/>
        <v>1.0421906109874948</v>
      </c>
    </row>
    <row r="264" spans="2:3">
      <c r="B264" s="34">
        <v>0.51</v>
      </c>
      <c r="C264" s="34">
        <f t="shared" si="3"/>
        <v>1.0647956161336205</v>
      </c>
    </row>
    <row r="265" spans="2:3">
      <c r="B265" s="34">
        <v>0.52</v>
      </c>
      <c r="C265" s="34">
        <f t="shared" si="3"/>
        <v>1.0875071017286921</v>
      </c>
    </row>
    <row r="266" spans="2:3">
      <c r="B266" s="34">
        <v>0.53</v>
      </c>
      <c r="C266" s="34">
        <f t="shared" si="3"/>
        <v>1.1103273389401955</v>
      </c>
    </row>
    <row r="267" spans="2:3">
      <c r="B267" s="34">
        <v>0.54</v>
      </c>
      <c r="C267" s="34">
        <f t="shared" si="3"/>
        <v>1.133258609810869</v>
      </c>
    </row>
    <row r="268" spans="2:3">
      <c r="B268" s="34">
        <v>0.55000000000000004</v>
      </c>
      <c r="C268" s="34">
        <f t="shared" si="3"/>
        <v>1.1563032074869086</v>
      </c>
    </row>
    <row r="269" spans="2:3">
      <c r="B269" s="34">
        <v>0.56000000000000005</v>
      </c>
      <c r="C269" s="34">
        <f t="shared" si="3"/>
        <v>1.1794634364472865</v>
      </c>
    </row>
    <row r="270" spans="2:3">
      <c r="B270" s="34">
        <v>0.56999999999999995</v>
      </c>
      <c r="C270" s="34">
        <f t="shared" ref="C270:C333" si="4">Reaction(B270)</f>
        <v>1.2027416127341979</v>
      </c>
    </row>
    <row r="271" spans="2:3">
      <c r="B271" s="34">
        <v>0.57999999999999996</v>
      </c>
      <c r="C271" s="34">
        <f t="shared" si="4"/>
        <v>1.2261400641846714</v>
      </c>
    </row>
    <row r="272" spans="2:3">
      <c r="B272" s="34">
        <v>0.59</v>
      </c>
      <c r="C272" s="34">
        <f t="shared" si="4"/>
        <v>1.2496611306633498</v>
      </c>
    </row>
    <row r="273" spans="2:3">
      <c r="B273" s="34">
        <v>0.6</v>
      </c>
      <c r="C273" s="34">
        <f t="shared" si="4"/>
        <v>1.2733071642964824</v>
      </c>
    </row>
    <row r="274" spans="2:3">
      <c r="B274" s="34">
        <v>0.61</v>
      </c>
      <c r="C274" s="34">
        <f t="shared" si="4"/>
        <v>1.2970805297071375</v>
      </c>
    </row>
    <row r="275" spans="2:3">
      <c r="B275" s="34">
        <v>0.62</v>
      </c>
      <c r="C275" s="34">
        <f t="shared" si="4"/>
        <v>1.3209836042516676</v>
      </c>
    </row>
    <row r="276" spans="2:3">
      <c r="B276" s="34">
        <v>0.63</v>
      </c>
      <c r="C276" s="34">
        <f t="shared" si="4"/>
        <v>1.3450187782574459</v>
      </c>
    </row>
    <row r="277" spans="2:3">
      <c r="B277" s="34">
        <v>0.64</v>
      </c>
      <c r="C277" s="34">
        <f t="shared" si="4"/>
        <v>1.3691884552619029</v>
      </c>
    </row>
    <row r="278" spans="2:3">
      <c r="B278" s="34">
        <v>0.65</v>
      </c>
      <c r="C278" s="34">
        <f t="shared" si="4"/>
        <v>1.3934950522528804</v>
      </c>
    </row>
    <row r="279" spans="2:3">
      <c r="B279" s="34">
        <v>0.66</v>
      </c>
      <c r="C279" s="34">
        <f t="shared" si="4"/>
        <v>1.4179409999103325</v>
      </c>
    </row>
    <row r="280" spans="2:3">
      <c r="B280" s="34">
        <v>0.67</v>
      </c>
      <c r="C280" s="34">
        <f t="shared" si="4"/>
        <v>1.4425287428493971</v>
      </c>
    </row>
    <row r="281" spans="2:3">
      <c r="B281" s="34">
        <v>0.68</v>
      </c>
      <c r="C281" s="34">
        <f t="shared" si="4"/>
        <v>1.4672607398648581</v>
      </c>
    </row>
    <row r="282" spans="2:3">
      <c r="B282" s="34">
        <v>0.69</v>
      </c>
      <c r="C282" s="34">
        <f t="shared" si="4"/>
        <v>1.4921394641770267</v>
      </c>
    </row>
    <row r="283" spans="2:3">
      <c r="B283" s="34">
        <v>0.7</v>
      </c>
      <c r="C283" s="34">
        <f t="shared" si="4"/>
        <v>1.5171674036790672</v>
      </c>
    </row>
    <row r="284" spans="2:3">
      <c r="B284" s="34">
        <v>0.71</v>
      </c>
      <c r="C284" s="34">
        <f t="shared" si="4"/>
        <v>1.5423470611857855</v>
      </c>
    </row>
    <row r="285" spans="2:3">
      <c r="B285" s="34">
        <v>0.72</v>
      </c>
      <c r="C285" s="34">
        <f t="shared" si="4"/>
        <v>1.5676809546839159</v>
      </c>
    </row>
    <row r="286" spans="2:3">
      <c r="B286" s="34">
        <v>0.73</v>
      </c>
      <c r="C286" s="34">
        <f t="shared" si="4"/>
        <v>1.5931716175839201</v>
      </c>
    </row>
    <row r="287" spans="2:3">
      <c r="B287" s="34">
        <v>0.74</v>
      </c>
      <c r="C287" s="34">
        <f t="shared" si="4"/>
        <v>1.6188215989733301</v>
      </c>
    </row>
    <row r="288" spans="2:3">
      <c r="B288" s="34">
        <v>0.75</v>
      </c>
      <c r="C288" s="34">
        <f t="shared" si="4"/>
        <v>1.64463346387166</v>
      </c>
    </row>
    <row r="289" spans="2:3">
      <c r="B289" s="34">
        <v>0.76</v>
      </c>
      <c r="C289" s="34">
        <f t="shared" si="4"/>
        <v>1.6706097934869093</v>
      </c>
    </row>
    <row r="290" spans="2:3">
      <c r="B290" s="34">
        <v>0.77</v>
      </c>
      <c r="C290" s="34">
        <f t="shared" si="4"/>
        <v>1.696753185473687</v>
      </c>
    </row>
    <row r="291" spans="2:3">
      <c r="B291" s="34">
        <v>0.78</v>
      </c>
      <c r="C291" s="34">
        <f t="shared" si="4"/>
        <v>1.7230662541929775</v>
      </c>
    </row>
    <row r="292" spans="2:3">
      <c r="B292" s="34">
        <v>0.79</v>
      </c>
      <c r="C292" s="34">
        <f t="shared" si="4"/>
        <v>1.7495516309735808</v>
      </c>
    </row>
    <row r="293" spans="2:3">
      <c r="B293" s="34">
        <v>0.8</v>
      </c>
      <c r="C293" s="34">
        <f t="shared" si="4"/>
        <v>1.7762119643752461</v>
      </c>
    </row>
    <row r="294" spans="2:3">
      <c r="B294" s="34">
        <v>0.81</v>
      </c>
      <c r="C294" s="34">
        <f t="shared" si="4"/>
        <v>1.8030499204535306</v>
      </c>
    </row>
    <row r="295" spans="2:3">
      <c r="B295" s="34">
        <v>0.82</v>
      </c>
      <c r="C295" s="34">
        <f t="shared" si="4"/>
        <v>1.8300681830264063</v>
      </c>
    </row>
    <row r="296" spans="2:3">
      <c r="B296" s="34">
        <v>0.83</v>
      </c>
      <c r="C296" s="34">
        <f t="shared" si="4"/>
        <v>1.8572694539426471</v>
      </c>
    </row>
    <row r="297" spans="2:3">
      <c r="B297" s="34">
        <v>0.84</v>
      </c>
      <c r="C297" s="34">
        <f t="shared" si="4"/>
        <v>1.884656453352012</v>
      </c>
    </row>
    <row r="298" spans="2:3">
      <c r="B298" s="34">
        <v>0.85</v>
      </c>
      <c r="C298" s="34">
        <f t="shared" si="4"/>
        <v>1.9122319199772642</v>
      </c>
    </row>
    <row r="299" spans="2:3">
      <c r="B299" s="34">
        <v>0.86</v>
      </c>
      <c r="C299" s="34">
        <f t="shared" si="4"/>
        <v>1.9399986113880461</v>
      </c>
    </row>
    <row r="300" spans="2:3">
      <c r="B300" s="34">
        <v>0.87</v>
      </c>
      <c r="C300" s="34">
        <f t="shared" si="4"/>
        <v>1.9679593042766375</v>
      </c>
    </row>
    <row r="301" spans="2:3">
      <c r="B301" s="34">
        <v>0.88</v>
      </c>
      <c r="C301" s="34">
        <f t="shared" si="4"/>
        <v>1.9961167947356282</v>
      </c>
    </row>
    <row r="302" spans="2:3">
      <c r="B302" s="34">
        <v>0.89</v>
      </c>
      <c r="C302" s="34">
        <f t="shared" si="4"/>
        <v>2.0244738985375292</v>
      </c>
    </row>
    <row r="303" spans="2:3">
      <c r="B303" s="34">
        <v>0.9</v>
      </c>
      <c r="C303" s="34">
        <f t="shared" si="4"/>
        <v>2.0530334514163511</v>
      </c>
    </row>
    <row r="304" spans="2:3">
      <c r="B304" s="34">
        <v>0.91</v>
      </c>
      <c r="C304" s="34">
        <f t="shared" si="4"/>
        <v>2.0817983093511807</v>
      </c>
    </row>
    <row r="305" spans="2:3">
      <c r="B305" s="34">
        <v>0.92</v>
      </c>
      <c r="C305" s="34">
        <f t="shared" si="4"/>
        <v>2.1107713488517836</v>
      </c>
    </row>
    <row r="306" spans="2:3">
      <c r="B306" s="34">
        <v>0.93</v>
      </c>
      <c r="C306" s="34">
        <f t="shared" si="4"/>
        <v>2.1399554672462537</v>
      </c>
    </row>
    <row r="307" spans="2:3">
      <c r="B307" s="34">
        <v>0.94</v>
      </c>
      <c r="C307" s="34">
        <f t="shared" si="4"/>
        <v>2.16935358297075</v>
      </c>
    </row>
    <row r="308" spans="2:3">
      <c r="B308" s="34">
        <v>0.95</v>
      </c>
      <c r="C308" s="34">
        <f t="shared" si="4"/>
        <v>2.1989686358613447</v>
      </c>
    </row>
    <row r="309" spans="2:3">
      <c r="B309" s="34">
        <v>0.96</v>
      </c>
      <c r="C309" s="34">
        <f t="shared" si="4"/>
        <v>2.2288035874480054</v>
      </c>
    </row>
    <row r="310" spans="2:3">
      <c r="B310" s="34">
        <v>0.97</v>
      </c>
      <c r="C310" s="34">
        <f t="shared" si="4"/>
        <v>2.2588614212507538</v>
      </c>
    </row>
    <row r="311" spans="2:3">
      <c r="B311" s="34">
        <v>0.98</v>
      </c>
      <c r="C311" s="34">
        <f t="shared" si="4"/>
        <v>2.2891451430780174</v>
      </c>
    </row>
    <row r="312" spans="2:3">
      <c r="B312" s="34">
        <v>0.99</v>
      </c>
      <c r="C312" s="34">
        <f t="shared" si="4"/>
        <v>2.3196577813272166</v>
      </c>
    </row>
    <row r="313" spans="2:3">
      <c r="B313" s="34">
        <v>1</v>
      </c>
      <c r="C313" s="34">
        <f t="shared" si="4"/>
        <v>2.3504023872876028</v>
      </c>
    </row>
    <row r="314" spans="2:3">
      <c r="B314" s="34">
        <v>1.01</v>
      </c>
      <c r="C314" s="34">
        <f t="shared" si="4"/>
        <v>2.3813820354453932</v>
      </c>
    </row>
    <row r="315" spans="2:3">
      <c r="B315" s="34">
        <v>1.02</v>
      </c>
      <c r="C315" s="34">
        <f t="shared" si="4"/>
        <v>2.4125998237912194</v>
      </c>
    </row>
    <row r="316" spans="2:3">
      <c r="B316" s="34">
        <v>1.03</v>
      </c>
      <c r="C316" s="34">
        <f t="shared" si="4"/>
        <v>2.4440588741299316</v>
      </c>
    </row>
    <row r="317" spans="2:3">
      <c r="B317" s="34">
        <v>1.04</v>
      </c>
      <c r="C317" s="34">
        <f t="shared" si="4"/>
        <v>2.4757623323927795</v>
      </c>
    </row>
    <row r="318" spans="2:3">
      <c r="B318" s="34">
        <v>1.05</v>
      </c>
      <c r="C318" s="34">
        <f t="shared" si="4"/>
        <v>2.5077133689520084</v>
      </c>
    </row>
    <row r="319" spans="2:3">
      <c r="B319" s="34">
        <v>1.06</v>
      </c>
      <c r="C319" s="34">
        <f t="shared" si="4"/>
        <v>2.5399151789379011</v>
      </c>
    </row>
    <row r="320" spans="2:3">
      <c r="B320" s="34">
        <v>1.07</v>
      </c>
      <c r="C320" s="34">
        <f t="shared" si="4"/>
        <v>2.5723709825582901</v>
      </c>
    </row>
    <row r="321" spans="2:3">
      <c r="B321" s="34">
        <v>1.08</v>
      </c>
      <c r="C321" s="34">
        <f t="shared" si="4"/>
        <v>2.6050840254205849</v>
      </c>
    </row>
    <row r="322" spans="2:3">
      <c r="B322" s="34">
        <v>1.0900000000000001</v>
      </c>
      <c r="C322" s="34">
        <f t="shared" si="4"/>
        <v>2.6380575788563325</v>
      </c>
    </row>
    <row r="323" spans="2:3">
      <c r="B323" s="34">
        <v>1.1000000000000001</v>
      </c>
      <c r="C323" s="34">
        <f t="shared" si="4"/>
        <v>2.6712949402483539</v>
      </c>
    </row>
    <row r="324" spans="2:3">
      <c r="B324" s="34">
        <v>1.1100000000000001</v>
      </c>
      <c r="C324" s="34">
        <f t="shared" si="4"/>
        <v>2.7047994333604866</v>
      </c>
    </row>
    <row r="325" spans="2:3">
      <c r="B325" s="34">
        <v>1.1200000000000001</v>
      </c>
      <c r="C325" s="34">
        <f t="shared" si="4"/>
        <v>2.738574408669963</v>
      </c>
    </row>
    <row r="326" spans="2:3">
      <c r="B326" s="34">
        <v>1.1299999999999999</v>
      </c>
      <c r="C326" s="34">
        <f t="shared" si="4"/>
        <v>2.7726232437024581</v>
      </c>
    </row>
    <row r="327" spans="2:3">
      <c r="B327" s="34">
        <v>1.1399999999999999</v>
      </c>
      <c r="C327" s="34">
        <f t="shared" si="4"/>
        <v>2.8069493433698511</v>
      </c>
    </row>
    <row r="328" spans="2:3">
      <c r="B328" s="34">
        <v>1.1499999999999999</v>
      </c>
      <c r="C328" s="34">
        <f t="shared" si="4"/>
        <v>2.8415561403107139</v>
      </c>
    </row>
    <row r="329" spans="2:3">
      <c r="B329" s="34">
        <v>1.1599999999999999</v>
      </c>
      <c r="C329" s="34">
        <f t="shared" si="4"/>
        <v>2.876447095233579</v>
      </c>
    </row>
    <row r="330" spans="2:3">
      <c r="B330" s="34">
        <v>1.17</v>
      </c>
      <c r="C330" s="34">
        <f t="shared" si="4"/>
        <v>2.9116256972630143</v>
      </c>
    </row>
    <row r="331" spans="2:3">
      <c r="B331" s="34">
        <v>1.18</v>
      </c>
      <c r="C331" s="34">
        <f t="shared" si="4"/>
        <v>2.9470954642885396</v>
      </c>
    </row>
    <row r="332" spans="2:3">
      <c r="B332" s="34">
        <v>1.19</v>
      </c>
      <c r="C332" s="34">
        <f t="shared" si="4"/>
        <v>2.9828599433164138</v>
      </c>
    </row>
    <row r="333" spans="2:3">
      <c r="B333" s="34">
        <v>1.2</v>
      </c>
      <c r="C333" s="34">
        <f t="shared" si="4"/>
        <v>3.018922710824345</v>
      </c>
    </row>
    <row r="334" spans="2:3">
      <c r="B334" s="34">
        <v>1.21</v>
      </c>
      <c r="C334" s="34">
        <f t="shared" ref="C334:C397" si="5">Reaction(B334)</f>
        <v>3.0552873731191363</v>
      </c>
    </row>
    <row r="335" spans="2:3">
      <c r="B335" s="34">
        <v>1.22</v>
      </c>
      <c r="C335" s="34">
        <f t="shared" si="5"/>
        <v>3.0919575666973205</v>
      </c>
    </row>
    <row r="336" spans="2:3">
      <c r="B336" s="34">
        <v>1.23</v>
      </c>
      <c r="C336" s="34">
        <f t="shared" si="5"/>
        <v>3.128936958608814</v>
      </c>
    </row>
    <row r="337" spans="2:3">
      <c r="B337" s="34">
        <v>1.24</v>
      </c>
      <c r="C337" s="34">
        <f t="shared" si="5"/>
        <v>3.1662292468236251</v>
      </c>
    </row>
    <row r="338" spans="2:3">
      <c r="B338" s="34">
        <v>1.25</v>
      </c>
      <c r="C338" s="34">
        <f t="shared" si="5"/>
        <v>3.2038381606016513</v>
      </c>
    </row>
    <row r="339" spans="2:3">
      <c r="B339" s="34">
        <v>1.26</v>
      </c>
      <c r="C339" s="34">
        <f t="shared" si="5"/>
        <v>3.2417674608656122</v>
      </c>
    </row>
    <row r="340" spans="2:3">
      <c r="B340" s="34">
        <v>1.27</v>
      </c>
      <c r="C340" s="34">
        <f t="shared" si="5"/>
        <v>3.2800209405771406</v>
      </c>
    </row>
    <row r="341" spans="2:3">
      <c r="B341" s="34">
        <v>1.28</v>
      </c>
      <c r="C341" s="34">
        <f t="shared" si="5"/>
        <v>3.3186024251160875</v>
      </c>
    </row>
    <row r="342" spans="2:3">
      <c r="B342" s="34">
        <v>1.29</v>
      </c>
      <c r="C342" s="34">
        <f t="shared" si="5"/>
        <v>3.3575157726630569</v>
      </c>
    </row>
    <row r="343" spans="2:3">
      <c r="B343" s="34">
        <v>1.3</v>
      </c>
      <c r="C343" s="34">
        <f t="shared" si="5"/>
        <v>3.3967648745852319</v>
      </c>
    </row>
    <row r="344" spans="2:3">
      <c r="B344" s="34">
        <v>1.31</v>
      </c>
      <c r="C344" s="34">
        <f t="shared" si="5"/>
        <v>3.4363536558255121</v>
      </c>
    </row>
    <row r="345" spans="2:3">
      <c r="B345" s="34">
        <v>1.32</v>
      </c>
      <c r="C345" s="34">
        <f t="shared" si="5"/>
        <v>3.4762860752950124</v>
      </c>
    </row>
    <row r="346" spans="2:3">
      <c r="B346" s="34">
        <v>1.33</v>
      </c>
      <c r="C346" s="34">
        <f t="shared" si="5"/>
        <v>3.5165661262689571</v>
      </c>
    </row>
    <row r="347" spans="2:3">
      <c r="B347" s="34">
        <v>1.34</v>
      </c>
      <c r="C347" s="34">
        <f t="shared" si="5"/>
        <v>3.5571978367860102</v>
      </c>
    </row>
    <row r="348" spans="2:3">
      <c r="B348" s="34">
        <v>1.35</v>
      </c>
      <c r="C348" s="34">
        <f t="shared" si="5"/>
        <v>3.5981852700510828</v>
      </c>
    </row>
    <row r="349" spans="2:3">
      <c r="B349" s="34">
        <v>1.36</v>
      </c>
      <c r="C349" s="34">
        <f t="shared" si="5"/>
        <v>3.639532524841659</v>
      </c>
    </row>
    <row r="350" spans="2:3">
      <c r="B350" s="34">
        <v>1.37</v>
      </c>
      <c r="C350" s="34">
        <f t="shared" si="5"/>
        <v>3.6812437359176728</v>
      </c>
    </row>
    <row r="351" spans="2:3">
      <c r="B351" s="34">
        <v>1.38</v>
      </c>
      <c r="C351" s="34">
        <f t="shared" si="5"/>
        <v>3.7233230744349912</v>
      </c>
    </row>
    <row r="352" spans="2:3">
      <c r="B352" s="34">
        <v>1.39</v>
      </c>
      <c r="C352" s="34">
        <f t="shared" si="5"/>
        <v>3.7657747483625328</v>
      </c>
    </row>
    <row r="353" spans="2:3">
      <c r="B353" s="34">
        <v>1.4</v>
      </c>
      <c r="C353" s="34">
        <f t="shared" si="5"/>
        <v>3.8086030029030682</v>
      </c>
    </row>
    <row r="354" spans="2:3">
      <c r="B354" s="34">
        <v>1.41</v>
      </c>
      <c r="C354" s="34">
        <f t="shared" si="5"/>
        <v>3.8518121209177387</v>
      </c>
    </row>
    <row r="355" spans="2:3">
      <c r="B355" s="34">
        <v>1.42</v>
      </c>
      <c r="C355" s="34">
        <f t="shared" si="5"/>
        <v>3.8954064233543555</v>
      </c>
    </row>
    <row r="356" spans="2:3">
      <c r="B356" s="34">
        <v>1.43</v>
      </c>
      <c r="C356" s="34">
        <f t="shared" si="5"/>
        <v>3.9393902696794916</v>
      </c>
    </row>
    <row r="357" spans="2:3">
      <c r="B357" s="34">
        <v>1.44</v>
      </c>
      <c r="C357" s="34">
        <f t="shared" si="5"/>
        <v>3.9837680583144306</v>
      </c>
    </row>
    <row r="358" spans="2:3">
      <c r="B358" s="34">
        <v>1.45</v>
      </c>
      <c r="C358" s="34">
        <f t="shared" si="5"/>
        <v>4.0285442270750194</v>
      </c>
    </row>
    <row r="359" spans="2:3">
      <c r="B359" s="34">
        <v>1.46</v>
      </c>
      <c r="C359" s="34">
        <f t="shared" si="5"/>
        <v>4.073723253615448</v>
      </c>
    </row>
    <row r="360" spans="2:3">
      <c r="B360" s="34">
        <v>1.47</v>
      </c>
      <c r="C360" s="34">
        <f t="shared" si="5"/>
        <v>4.1193096558760178</v>
      </c>
    </row>
    <row r="361" spans="2:3">
      <c r="B361" s="34">
        <v>1.48</v>
      </c>
      <c r="C361" s="34">
        <f t="shared" si="5"/>
        <v>4.1653079925349443</v>
      </c>
    </row>
    <row r="362" spans="2:3">
      <c r="B362" s="34">
        <v>1.49</v>
      </c>
      <c r="C362" s="34">
        <f t="shared" si="5"/>
        <v>4.2117228634642254</v>
      </c>
    </row>
    <row r="363" spans="2:3">
      <c r="B363" s="34">
        <v>1.5</v>
      </c>
      <c r="C363" s="34">
        <f t="shared" si="5"/>
        <v>4.2585589101896346</v>
      </c>
    </row>
    <row r="364" spans="2:3">
      <c r="B364" s="34">
        <v>1.51</v>
      </c>
      <c r="C364" s="34">
        <f t="shared" si="5"/>
        <v>4.3058208163548741</v>
      </c>
    </row>
    <row r="365" spans="2:3">
      <c r="B365" s="34">
        <v>1.52</v>
      </c>
      <c r="C365" s="34">
        <f t="shared" si="5"/>
        <v>4.3535133081899442</v>
      </c>
    </row>
    <row r="366" spans="2:3">
      <c r="B366" s="34">
        <v>1.53</v>
      </c>
      <c r="C366" s="34">
        <f t="shared" si="5"/>
        <v>4.401641154983774</v>
      </c>
    </row>
    <row r="367" spans="2:3">
      <c r="B367" s="34">
        <v>1.54</v>
      </c>
      <c r="C367" s="34">
        <f t="shared" si="5"/>
        <v>4.4502091695611474</v>
      </c>
    </row>
    <row r="368" spans="2:3">
      <c r="B368" s="34">
        <v>1.55</v>
      </c>
      <c r="C368" s="34">
        <f t="shared" si="5"/>
        <v>4.4992222087639986</v>
      </c>
    </row>
    <row r="369" spans="2:3">
      <c r="B369" s="34">
        <v>1.56</v>
      </c>
      <c r="C369" s="34">
        <f t="shared" si="5"/>
        <v>4.5486851739370895</v>
      </c>
    </row>
    <row r="370" spans="2:3">
      <c r="B370" s="34">
        <v>1.57</v>
      </c>
      <c r="C370" s="34">
        <f t="shared" si="5"/>
        <v>4.5986030114181577</v>
      </c>
    </row>
    <row r="371" spans="2:3">
      <c r="B371" s="34">
        <v>1.58</v>
      </c>
      <c r="C371" s="34">
        <f t="shared" si="5"/>
        <v>4.6489807130325502</v>
      </c>
    </row>
    <row r="372" spans="2:3">
      <c r="B372" s="34">
        <v>1.59</v>
      </c>
      <c r="C372" s="34">
        <f t="shared" si="5"/>
        <v>4.6998233165924095</v>
      </c>
    </row>
    <row r="373" spans="2:3">
      <c r="B373" s="34">
        <v>1.6</v>
      </c>
      <c r="C373" s="34">
        <f t="shared" si="5"/>
        <v>4.7511359064004592</v>
      </c>
    </row>
    <row r="374" spans="2:3">
      <c r="B374" s="34">
        <v>1.61</v>
      </c>
      <c r="C374" s="34">
        <f t="shared" si="5"/>
        <v>4.802923613758443</v>
      </c>
    </row>
    <row r="375" spans="2:3">
      <c r="B375" s="34">
        <v>1.62</v>
      </c>
      <c r="C375" s="34">
        <f t="shared" si="5"/>
        <v>4.8551916174802532</v>
      </c>
    </row>
    <row r="376" spans="2:3">
      <c r="B376" s="34">
        <v>1.63</v>
      </c>
      <c r="C376" s="34">
        <f t="shared" si="5"/>
        <v>4.9079451444098163</v>
      </c>
    </row>
    <row r="377" spans="2:3">
      <c r="B377" s="34">
        <v>1.64</v>
      </c>
      <c r="C377" s="34">
        <f t="shared" si="5"/>
        <v>4.9611894699437888</v>
      </c>
    </row>
    <row r="378" spans="2:3">
      <c r="B378" s="34">
        <v>1.65</v>
      </c>
      <c r="C378" s="34">
        <f t="shared" si="5"/>
        <v>5.0149299185590941</v>
      </c>
    </row>
    <row r="379" spans="2:3">
      <c r="B379" s="34">
        <v>1.66</v>
      </c>
      <c r="C379" s="34">
        <f t="shared" si="5"/>
        <v>5.0691718643453774</v>
      </c>
    </row>
    <row r="380" spans="2:3">
      <c r="B380" s="34">
        <v>1.67</v>
      </c>
      <c r="C380" s="34">
        <f t="shared" si="5"/>
        <v>5.1239207315424204</v>
      </c>
    </row>
    <row r="381" spans="2:3">
      <c r="B381" s="34">
        <v>1.68</v>
      </c>
      <c r="C381" s="34">
        <f t="shared" si="5"/>
        <v>5.1791819950825646</v>
      </c>
    </row>
    <row r="382" spans="2:3">
      <c r="B382" s="34">
        <v>1.69</v>
      </c>
      <c r="C382" s="34">
        <f t="shared" si="5"/>
        <v>5.2349611811382166</v>
      </c>
    </row>
    <row r="383" spans="2:3">
      <c r="B383" s="34">
        <v>1.7</v>
      </c>
      <c r="C383" s="34">
        <f t="shared" si="5"/>
        <v>5.2912638676744654</v>
      </c>
    </row>
    <row r="384" spans="2:3">
      <c r="B384" s="34">
        <v>1.71</v>
      </c>
      <c r="C384" s="34">
        <f t="shared" si="5"/>
        <v>5.3480956850068821</v>
      </c>
    </row>
    <row r="385" spans="2:3">
      <c r="B385" s="34">
        <v>1.72</v>
      </c>
      <c r="C385" s="34">
        <f t="shared" si="5"/>
        <v>5.4054623163645603</v>
      </c>
    </row>
    <row r="386" spans="2:3">
      <c r="B386" s="34">
        <v>1.73</v>
      </c>
      <c r="C386" s="34">
        <f t="shared" si="5"/>
        <v>5.4633694984584427</v>
      </c>
    </row>
    <row r="387" spans="2:3">
      <c r="B387" s="34">
        <v>1.74</v>
      </c>
      <c r="C387" s="34">
        <f t="shared" si="5"/>
        <v>5.5218230220549938</v>
      </c>
    </row>
    <row r="388" spans="2:3">
      <c r="B388" s="34">
        <v>1.75</v>
      </c>
      <c r="C388" s="34">
        <f t="shared" si="5"/>
        <v>5.5808287325552852</v>
      </c>
    </row>
    <row r="389" spans="2:3">
      <c r="B389" s="34">
        <v>1.76</v>
      </c>
      <c r="C389" s="34">
        <f t="shared" si="5"/>
        <v>5.6403925305795379</v>
      </c>
    </row>
    <row r="390" spans="2:3">
      <c r="B390" s="34">
        <v>1.77</v>
      </c>
      <c r="C390" s="34">
        <f t="shared" si="5"/>
        <v>5.7005203725571922</v>
      </c>
    </row>
    <row r="391" spans="2:3">
      <c r="B391" s="34">
        <v>1.78</v>
      </c>
      <c r="C391" s="34">
        <f t="shared" si="5"/>
        <v>5.7612182713225506</v>
      </c>
    </row>
    <row r="392" spans="2:3">
      <c r="B392" s="34">
        <v>1.79</v>
      </c>
      <c r="C392" s="34">
        <f t="shared" si="5"/>
        <v>5.8224922967160726</v>
      </c>
    </row>
    <row r="393" spans="2:3">
      <c r="B393" s="34">
        <v>1.8</v>
      </c>
      <c r="C393" s="34">
        <f t="shared" si="5"/>
        <v>5.8843485761913596</v>
      </c>
    </row>
    <row r="394" spans="2:3">
      <c r="B394" s="34">
        <v>1.81</v>
      </c>
      <c r="C394" s="34">
        <f t="shared" si="5"/>
        <v>5.9467932954279057</v>
      </c>
    </row>
    <row r="395" spans="2:3">
      <c r="B395" s="34">
        <v>1.82</v>
      </c>
      <c r="C395" s="34">
        <f t="shared" si="5"/>
        <v>6.0098326989496726</v>
      </c>
    </row>
    <row r="396" spans="2:3">
      <c r="B396" s="34">
        <v>1.83</v>
      </c>
      <c r="C396" s="34">
        <f t="shared" si="5"/>
        <v>6.0734730907495447</v>
      </c>
    </row>
    <row r="397" spans="2:3">
      <c r="B397" s="34">
        <v>1.84</v>
      </c>
      <c r="C397" s="34">
        <f t="shared" si="5"/>
        <v>6.1377208349197367</v>
      </c>
    </row>
    <row r="398" spans="2:3">
      <c r="B398" s="34">
        <v>1.85</v>
      </c>
      <c r="C398" s="34">
        <f t="shared" ref="C398:C413" si="6">Reaction(B398)</f>
        <v>6.2025823562882039</v>
      </c>
    </row>
    <row r="399" spans="2:3">
      <c r="B399" s="34">
        <v>1.86</v>
      </c>
      <c r="C399" s="34">
        <f t="shared" si="6"/>
        <v>6.2680641410611377</v>
      </c>
    </row>
    <row r="400" spans="2:3">
      <c r="B400" s="34">
        <v>1.87</v>
      </c>
      <c r="C400" s="34">
        <f t="shared" si="6"/>
        <v>6.3341727374715804</v>
      </c>
    </row>
    <row r="401" spans="2:3">
      <c r="B401" s="34">
        <v>1.88</v>
      </c>
      <c r="C401" s="34">
        <f t="shared" si="6"/>
        <v>6.4009147564342639</v>
      </c>
    </row>
    <row r="402" spans="2:3">
      <c r="B402" s="34">
        <v>1.89</v>
      </c>
      <c r="C402" s="34">
        <f t="shared" si="6"/>
        <v>6.4682968722067056</v>
      </c>
    </row>
    <row r="403" spans="2:3">
      <c r="B403" s="34">
        <v>1.9</v>
      </c>
      <c r="C403" s="34">
        <f t="shared" si="6"/>
        <v>6.5363258230566332</v>
      </c>
    </row>
    <row r="404" spans="2:3">
      <c r="B404" s="34">
        <v>1.91</v>
      </c>
      <c r="C404" s="34">
        <f t="shared" si="6"/>
        <v>6.6050084119358239</v>
      </c>
    </row>
    <row r="405" spans="2:3">
      <c r="B405" s="34">
        <v>1.92</v>
      </c>
      <c r="C405" s="34">
        <f t="shared" si="6"/>
        <v>6.6743515071603996</v>
      </c>
    </row>
    <row r="406" spans="2:3">
      <c r="B406" s="34">
        <v>1.93</v>
      </c>
      <c r="C406" s="34">
        <f t="shared" si="6"/>
        <v>6.7443620430976683</v>
      </c>
    </row>
    <row r="407" spans="2:3">
      <c r="B407" s="34">
        <v>1.94</v>
      </c>
      <c r="C407" s="34">
        <f t="shared" si="6"/>
        <v>6.815047020859569</v>
      </c>
    </row>
    <row r="408" spans="2:3">
      <c r="B408" s="34">
        <v>1.95</v>
      </c>
      <c r="C408" s="34">
        <f t="shared" si="6"/>
        <v>6.8864135090027796</v>
      </c>
    </row>
    <row r="409" spans="2:3">
      <c r="B409" s="34">
        <v>1.96</v>
      </c>
      <c r="C409" s="34">
        <f t="shared" si="6"/>
        <v>6.9584686442355874</v>
      </c>
    </row>
    <row r="410" spans="2:3">
      <c r="B410" s="34">
        <v>1.97</v>
      </c>
      <c r="C410" s="34">
        <f t="shared" si="6"/>
        <v>7.0312196321315623</v>
      </c>
    </row>
    <row r="411" spans="2:3">
      <c r="B411" s="34">
        <v>1.98</v>
      </c>
      <c r="C411" s="34">
        <f t="shared" si="6"/>
        <v>7.1046737478501196</v>
      </c>
    </row>
    <row r="412" spans="2:3">
      <c r="B412" s="34">
        <v>1.99</v>
      </c>
      <c r="C412" s="34">
        <f t="shared" si="6"/>
        <v>7.1788383368640432</v>
      </c>
    </row>
    <row r="413" spans="2:3">
      <c r="B413" s="35">
        <v>2</v>
      </c>
      <c r="C413" s="35">
        <f t="shared" si="6"/>
        <v>7.253720815694038</v>
      </c>
    </row>
  </sheetData>
  <mergeCells count="1">
    <mergeCell ref="B11:C1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Problem 5</vt:lpstr>
      <vt:lpstr>Problem 6</vt:lpstr>
      <vt:lpstr>Dt</vt:lpstr>
      <vt:lpstr>y0</vt:lpstr>
      <vt:lpstr>z0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DOL</dc:creator>
  <cp:lastModifiedBy>Patrick van Duyse</cp:lastModifiedBy>
  <dcterms:created xsi:type="dcterms:W3CDTF">2018-09-17T22:21:45Z</dcterms:created>
  <dcterms:modified xsi:type="dcterms:W3CDTF">2021-12-15T02:48:31Z</dcterms:modified>
</cp:coreProperties>
</file>